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020"/>
  </bookViews>
  <sheets>
    <sheet name="SUMMARY" sheetId="3" r:id="rId1"/>
    <sheet name="REV_24" sheetId="4" r:id="rId2"/>
    <sheet name="REV_25" sheetId="2" r:id="rId3"/>
  </sheets>
  <externalReferences>
    <externalReference r:id="rId6"/>
  </externalReferences>
  <calcPr calcId="191029"/>
  <pivotCaches>
    <pivotCache cacheId="0" r:id="rId4"/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D13" authorId="0">
      <text>
        <r>
          <rPr>
            <b/>
            <sz val="9"/>
            <rFont val="Tahoma"/>
            <charset val="1"/>
          </rPr>
          <t>Admin:</t>
        </r>
        <r>
          <rPr>
            <sz val="9"/>
            <rFont val="Tahoma"/>
            <charset val="1"/>
          </rPr>
          <t xml:space="preserve">
DEBO-12
SMITA-4</t>
        </r>
      </text>
    </comment>
    <comment ref="E13" authorId="0">
      <text>
        <r>
          <rPr>
            <b/>
            <sz val="9"/>
            <rFont val="Tahoma"/>
            <charset val="1"/>
          </rPr>
          <t>Admin:</t>
        </r>
        <r>
          <rPr>
            <sz val="9"/>
            <rFont val="Tahoma"/>
            <charset val="1"/>
          </rPr>
          <t xml:space="preserve">
PRERNA-2
ROY-8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<sst xmlns="http://schemas.openxmlformats.org/spreadsheetml/2006/main" count="148" uniqueCount="86">
  <si>
    <t>Healthcare Revenue Analysis Dashboard (2024–2025)</t>
  </si>
  <si>
    <t>PARAMETER</t>
  </si>
  <si>
    <t>CHANGE%</t>
  </si>
  <si>
    <t>Month</t>
  </si>
  <si>
    <t>2024 Revenue</t>
  </si>
  <si>
    <t>2025 Revenue</t>
  </si>
  <si>
    <t>Total revenue</t>
  </si>
  <si>
    <t>Jan</t>
  </si>
  <si>
    <t>Total profit</t>
  </si>
  <si>
    <t>Feb</t>
  </si>
  <si>
    <t>Total patients</t>
  </si>
  <si>
    <t>Mar</t>
  </si>
  <si>
    <t>Avg. Monthly rev</t>
  </si>
  <si>
    <t>Apr</t>
  </si>
  <si>
    <t>Profit margin</t>
  </si>
  <si>
    <t>May</t>
  </si>
  <si>
    <t>Jun</t>
  </si>
  <si>
    <t>Jul</t>
  </si>
  <si>
    <t>Department/service Summary (2024-2025)</t>
  </si>
  <si>
    <t>Aug</t>
  </si>
  <si>
    <t>SERVICE</t>
  </si>
  <si>
    <t>No. of Patients</t>
  </si>
  <si>
    <t>Growth %</t>
  </si>
  <si>
    <t>Sep</t>
  </si>
  <si>
    <t>Oct</t>
  </si>
  <si>
    <t>Medic</t>
  </si>
  <si>
    <t>Nov</t>
  </si>
  <si>
    <t>Gynae</t>
  </si>
  <si>
    <t>Dec</t>
  </si>
  <si>
    <t>Pedi</t>
  </si>
  <si>
    <t>Ortho</t>
  </si>
  <si>
    <t>ENT</t>
  </si>
  <si>
    <t>Derma</t>
  </si>
  <si>
    <t>CONCLUSION</t>
  </si>
  <si>
    <t>MEDIC</t>
  </si>
  <si>
    <t>GRWT%</t>
  </si>
  <si>
    <t>GYNEA</t>
  </si>
  <si>
    <t>PEDI</t>
  </si>
  <si>
    <t>ORTHO</t>
  </si>
  <si>
    <t>DERMA</t>
  </si>
  <si>
    <t xml:space="preserve">TOTAL </t>
  </si>
  <si>
    <t>DOCTOR REV</t>
  </si>
  <si>
    <t>NET REV</t>
  </si>
  <si>
    <t>2024</t>
  </si>
  <si>
    <t>Sum of NET REV</t>
  </si>
  <si>
    <t>01-2024</t>
  </si>
  <si>
    <t>02-2024</t>
  </si>
  <si>
    <t>03-2024</t>
  </si>
  <si>
    <t>04-2024</t>
  </si>
  <si>
    <t>05-2024</t>
  </si>
  <si>
    <t>06-2024</t>
  </si>
  <si>
    <t>TOTAL</t>
  </si>
  <si>
    <t>07-2024</t>
  </si>
  <si>
    <t>08-2024</t>
  </si>
  <si>
    <t>09-2024</t>
  </si>
  <si>
    <t>10-2024</t>
  </si>
  <si>
    <t>11-2024</t>
  </si>
  <si>
    <t>12-2024</t>
  </si>
  <si>
    <t>Grand Total</t>
  </si>
  <si>
    <t>TOTAL REVENUE 2025 (₹)</t>
  </si>
  <si>
    <t>GROSS DR REV</t>
  </si>
  <si>
    <t>NO. OF PATIENTS</t>
  </si>
  <si>
    <t>CONTRIBUTION %</t>
  </si>
  <si>
    <t>NET DR REVENUE</t>
  </si>
  <si>
    <t>EXPENDITURE</t>
  </si>
  <si>
    <t>OPERATING PROFIT</t>
  </si>
  <si>
    <t xml:space="preserve">No. of patients (Monthly)
</t>
  </si>
  <si>
    <t>NET REVENUE (₹)</t>
  </si>
  <si>
    <t>MONTH</t>
  </si>
  <si>
    <t>NO. OF PATIENT</t>
  </si>
  <si>
    <t>GRW%</t>
  </si>
  <si>
    <t>2025</t>
  </si>
  <si>
    <t>Sum of NET REV (₹)</t>
  </si>
  <si>
    <t>01-2025</t>
  </si>
  <si>
    <t>02-2025</t>
  </si>
  <si>
    <t>03-2025</t>
  </si>
  <si>
    <t>04-2025</t>
  </si>
  <si>
    <t>05-2025</t>
  </si>
  <si>
    <t>06-2025</t>
  </si>
  <si>
    <t>07-2025</t>
  </si>
  <si>
    <t>08-2025</t>
  </si>
  <si>
    <t>09-2025</t>
  </si>
  <si>
    <t>10-2025</t>
  </si>
  <si>
    <t>11-2025</t>
  </si>
  <si>
    <t>12-2025</t>
  </si>
  <si>
    <t>PROFIT(₹)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</si>
</sst>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mm\ d"/>
    <numFmt numFmtId="181" formatCode="dd/mm/yyyy"/>
    <numFmt numFmtId="182" formatCode="0_ "/>
    <numFmt numFmtId="183" formatCode="mmm/yy"/>
    <numFmt numFmtId="184" formatCode="mmm/d"/>
  </numFmts>
  <fonts count="3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b/>
      <i/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sz val="11"/>
      <name val="Calibri"/>
      <charset val="134"/>
      <scheme val="minor"/>
    </font>
    <font>
      <sz val="11"/>
      <color theme="1"/>
      <name val="Calibri"/>
      <charset val="134"/>
    </font>
    <font>
      <b/>
      <sz val="11"/>
      <color theme="1"/>
      <name val="Bahnschrift SemiBold"/>
      <charset val="134"/>
    </font>
    <font>
      <sz val="11"/>
      <color theme="1"/>
      <name val="Bahnschrift SemiBold"/>
      <charset val="134"/>
    </font>
    <font>
      <b/>
      <sz val="12"/>
      <color theme="1"/>
      <name val="Bahnschrift SemiBold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ahoma"/>
      <charset val="1"/>
    </font>
    <font>
      <sz val="9"/>
      <name val="Tahoma"/>
      <charset val="1"/>
    </font>
  </fonts>
  <fills count="5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9" tint="0.599993896298105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F79C8D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2" borderId="8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3" borderId="11" applyNumberFormat="0" applyAlignment="0" applyProtection="0">
      <alignment vertical="center"/>
    </xf>
    <xf numFmtId="0" fontId="19" fillId="24" borderId="12" applyNumberFormat="0" applyAlignment="0" applyProtection="0">
      <alignment vertical="center"/>
    </xf>
    <xf numFmtId="0" fontId="20" fillId="24" borderId="11" applyNumberFormat="0" applyAlignment="0" applyProtection="0">
      <alignment vertical="center"/>
    </xf>
    <xf numFmtId="0" fontId="21" fillId="25" borderId="13" applyNumberFormat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</cellStyleXfs>
  <cellXfs count="105">
    <xf numFmtId="0" fontId="0" fillId="0" borderId="0" xfId="0">
      <alignment vertical="center"/>
    </xf>
    <xf numFmtId="0" fontId="0" fillId="0" borderId="0" xfId="0" applyFill="1" applyAlignmen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/>
    <xf numFmtId="0" fontId="0" fillId="0" borderId="0" xfId="0" applyFill="1" applyBorder="1" applyAlignment="1"/>
    <xf numFmtId="180" fontId="0" fillId="5" borderId="1" xfId="0" applyNumberFormat="1" applyFont="1" applyFill="1" applyBorder="1" applyAlignment="1"/>
    <xf numFmtId="0" fontId="0" fillId="5" borderId="1" xfId="0" applyFill="1" applyBorder="1" applyAlignment="1">
      <alignment horizontal="center"/>
    </xf>
    <xf numFmtId="9" fontId="0" fillId="6" borderId="1" xfId="3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 vertical="center"/>
    </xf>
    <xf numFmtId="0" fontId="1" fillId="5" borderId="1" xfId="0" applyFont="1" applyFill="1" applyBorder="1" applyAlignment="1"/>
    <xf numFmtId="0" fontId="0" fillId="5" borderId="1" xfId="0" applyFont="1" applyFill="1" applyBorder="1" applyAlignment="1">
      <alignment horizontal="center"/>
    </xf>
    <xf numFmtId="180" fontId="0" fillId="7" borderId="1" xfId="0" applyNumberFormat="1" applyFont="1" applyFill="1" applyBorder="1" applyAlignment="1"/>
    <xf numFmtId="0" fontId="0" fillId="7" borderId="1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181" fontId="0" fillId="0" borderId="3" xfId="0" applyNumberFormat="1" applyBorder="1">
      <alignment vertical="center"/>
    </xf>
    <xf numFmtId="181" fontId="0" fillId="8" borderId="3" xfId="0" applyNumberFormat="1" applyFill="1" applyBorder="1">
      <alignment vertical="center"/>
    </xf>
    <xf numFmtId="0" fontId="0" fillId="8" borderId="3" xfId="0" applyFill="1" applyBorder="1">
      <alignment vertical="center"/>
    </xf>
    <xf numFmtId="0" fontId="4" fillId="0" borderId="0" xfId="0" applyFont="1" applyFill="1" applyAlignment="1"/>
    <xf numFmtId="0" fontId="0" fillId="0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4" borderId="1" xfId="0" applyFont="1" applyFill="1" applyBorder="1" applyAlignment="1"/>
    <xf numFmtId="181" fontId="0" fillId="9" borderId="3" xfId="0" applyNumberFormat="1" applyFill="1" applyBorder="1">
      <alignment vertical="center"/>
    </xf>
    <xf numFmtId="0" fontId="0" fillId="9" borderId="3" xfId="0" applyFill="1" applyBorder="1">
      <alignment vertical="center"/>
    </xf>
    <xf numFmtId="0" fontId="1" fillId="10" borderId="1" xfId="0" applyFont="1" applyFill="1" applyBorder="1" applyAlignment="1"/>
    <xf numFmtId="0" fontId="1" fillId="10" borderId="1" xfId="0" applyFont="1" applyFill="1" applyBorder="1" applyAlignment="1"/>
    <xf numFmtId="0" fontId="0" fillId="11" borderId="4" xfId="0" applyFill="1" applyBorder="1" applyAlignment="1">
      <alignment horizontal="center"/>
    </xf>
    <xf numFmtId="0" fontId="0" fillId="11" borderId="5" xfId="0" applyFill="1" applyBorder="1" applyAlignment="1">
      <alignment horizontal="center"/>
    </xf>
    <xf numFmtId="0" fontId="0" fillId="9" borderId="1" xfId="0" applyFill="1" applyBorder="1" applyAlignment="1"/>
    <xf numFmtId="9" fontId="0" fillId="9" borderId="1" xfId="3" applyFill="1" applyBorder="1" applyAlignment="1"/>
    <xf numFmtId="182" fontId="0" fillId="9" borderId="1" xfId="0" applyNumberFormat="1" applyFill="1" applyBorder="1" applyAlignment="1"/>
    <xf numFmtId="0" fontId="0" fillId="10" borderId="6" xfId="0" applyFill="1" applyBorder="1" applyAlignment="1"/>
    <xf numFmtId="0" fontId="0" fillId="0" borderId="1" xfId="0" applyFill="1" applyBorder="1" applyAlignment="1"/>
    <xf numFmtId="9" fontId="0" fillId="0" borderId="1" xfId="3" applyFill="1" applyBorder="1" applyAlignment="1"/>
    <xf numFmtId="182" fontId="0" fillId="0" borderId="1" xfId="0" applyNumberFormat="1" applyFill="1" applyBorder="1" applyAlignment="1"/>
    <xf numFmtId="0" fontId="0" fillId="10" borderId="1" xfId="0" applyFill="1" applyBorder="1" applyAlignment="1"/>
    <xf numFmtId="182" fontId="0" fillId="10" borderId="1" xfId="0" applyNumberFormat="1" applyFill="1" applyBorder="1" applyAlignment="1"/>
    <xf numFmtId="0" fontId="0" fillId="8" borderId="1" xfId="0" applyFill="1" applyBorder="1" applyAlignment="1"/>
    <xf numFmtId="9" fontId="0" fillId="8" borderId="1" xfId="3" applyFill="1" applyBorder="1" applyAlignment="1"/>
    <xf numFmtId="182" fontId="5" fillId="8" borderId="1" xfId="0" applyNumberFormat="1" applyFont="1" applyFill="1" applyBorder="1" applyAlignment="1"/>
    <xf numFmtId="0" fontId="5" fillId="10" borderId="1" xfId="0" applyFont="1" applyFill="1" applyBorder="1" applyAlignment="1"/>
    <xf numFmtId="0" fontId="1" fillId="10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0" borderId="0" xfId="0" applyFill="1" applyAlignment="1"/>
    <xf numFmtId="183" fontId="6" fillId="7" borderId="1" xfId="0" applyNumberFormat="1" applyFont="1" applyFill="1" applyBorder="1" applyAlignment="1"/>
    <xf numFmtId="0" fontId="6" fillId="7" borderId="1" xfId="0" applyFont="1" applyFill="1" applyBorder="1" applyAlignment="1">
      <alignment horizontal="center"/>
    </xf>
    <xf numFmtId="0" fontId="0" fillId="12" borderId="1" xfId="0" applyFill="1" applyBorder="1" applyAlignment="1"/>
    <xf numFmtId="183" fontId="6" fillId="12" borderId="1" xfId="0" applyNumberFormat="1" applyFont="1" applyFill="1" applyBorder="1" applyAlignment="1"/>
    <xf numFmtId="0" fontId="6" fillId="12" borderId="1" xfId="0" applyFont="1" applyFill="1" applyBorder="1" applyAlignment="1">
      <alignment horizontal="center"/>
    </xf>
    <xf numFmtId="184" fontId="0" fillId="12" borderId="1" xfId="0" applyNumberFormat="1" applyFont="1" applyFill="1" applyBorder="1" applyAlignment="1"/>
    <xf numFmtId="0" fontId="0" fillId="12" borderId="1" xfId="0" applyFont="1" applyFill="1" applyBorder="1" applyAlignment="1">
      <alignment horizontal="center"/>
    </xf>
    <xf numFmtId="0" fontId="0" fillId="0" borderId="1" xfId="0" applyBorder="1">
      <alignment vertical="center"/>
    </xf>
    <xf numFmtId="181" fontId="5" fillId="8" borderId="1" xfId="0" applyNumberFormat="1" applyFont="1" applyFill="1" applyBorder="1">
      <alignment vertical="center"/>
    </xf>
    <xf numFmtId="0" fontId="5" fillId="8" borderId="1" xfId="0" applyFont="1" applyFill="1" applyBorder="1">
      <alignment vertical="center"/>
    </xf>
    <xf numFmtId="181" fontId="0" fillId="0" borderId="1" xfId="0" applyNumberFormat="1" applyBorder="1">
      <alignment vertical="center"/>
    </xf>
    <xf numFmtId="182" fontId="0" fillId="0" borderId="0" xfId="0" applyNumberFormat="1" applyFill="1" applyAlignment="1"/>
    <xf numFmtId="0" fontId="1" fillId="4" borderId="1" xfId="0" applyFont="1" applyFill="1" applyBorder="1" applyAlignment="1"/>
    <xf numFmtId="0" fontId="1" fillId="4" borderId="1" xfId="0" applyFont="1" applyFill="1" applyBorder="1" applyAlignment="1"/>
    <xf numFmtId="181" fontId="0" fillId="9" borderId="1" xfId="0" applyNumberFormat="1" applyFill="1" applyBorder="1">
      <alignment vertical="center"/>
    </xf>
    <xf numFmtId="0" fontId="0" fillId="9" borderId="1" xfId="0" applyFill="1" applyBorder="1">
      <alignment vertical="center"/>
    </xf>
    <xf numFmtId="9" fontId="0" fillId="0" borderId="1" xfId="3" applyFill="1" applyBorder="1" applyAlignment="1"/>
    <xf numFmtId="0" fontId="0" fillId="0" borderId="1" xfId="0" applyFill="1" applyBorder="1" applyAlignment="1"/>
    <xf numFmtId="0" fontId="0" fillId="13" borderId="1" xfId="0" applyFill="1" applyBorder="1" applyAlignment="1"/>
    <xf numFmtId="0" fontId="0" fillId="13" borderId="2" xfId="0" applyFill="1" applyBorder="1" applyAlignment="1">
      <alignment horizontal="center"/>
    </xf>
    <xf numFmtId="0" fontId="0" fillId="13" borderId="7" xfId="0" applyFill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1" fillId="14" borderId="1" xfId="0" applyFont="1" applyFill="1" applyBorder="1">
      <alignment vertical="center"/>
    </xf>
    <xf numFmtId="0" fontId="1" fillId="11" borderId="1" xfId="0" applyFont="1" applyFill="1" applyBorder="1">
      <alignment vertical="center"/>
    </xf>
    <xf numFmtId="0" fontId="1" fillId="15" borderId="1" xfId="0" applyFont="1" applyFill="1" applyBorder="1">
      <alignment vertical="center"/>
    </xf>
    <xf numFmtId="0" fontId="1" fillId="16" borderId="1" xfId="0" applyFont="1" applyFill="1" applyBorder="1">
      <alignment vertical="center"/>
    </xf>
    <xf numFmtId="0" fontId="1" fillId="14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right" vertical="center" wrapText="1"/>
    </xf>
    <xf numFmtId="0" fontId="1" fillId="15" borderId="1" xfId="0" applyFont="1" applyFill="1" applyBorder="1" applyAlignment="1">
      <alignment horizontal="right" vertical="center" wrapText="1"/>
    </xf>
    <xf numFmtId="0" fontId="0" fillId="17" borderId="1" xfId="0" applyFill="1" applyBorder="1">
      <alignment vertical="center"/>
    </xf>
    <xf numFmtId="0" fontId="0" fillId="10" borderId="1" xfId="0" applyFill="1" applyBorder="1">
      <alignment vertical="center"/>
    </xf>
    <xf numFmtId="0" fontId="0" fillId="18" borderId="1" xfId="0" applyFill="1" applyBorder="1">
      <alignment vertical="center"/>
    </xf>
    <xf numFmtId="9" fontId="0" fillId="19" borderId="1" xfId="3" applyFill="1" applyBorder="1">
      <alignment vertical="center"/>
    </xf>
    <xf numFmtId="0" fontId="0" fillId="17" borderId="1" xfId="0" applyFill="1" applyBorder="1" applyAlignment="1">
      <alignment vertical="center" wrapText="1"/>
    </xf>
    <xf numFmtId="0" fontId="0" fillId="10" borderId="1" xfId="0" applyFill="1" applyBorder="1" applyAlignment="1">
      <alignment horizontal="right" vertical="center" wrapText="1"/>
    </xf>
    <xf numFmtId="0" fontId="0" fillId="18" borderId="1" xfId="0" applyFill="1" applyBorder="1" applyAlignment="1">
      <alignment horizontal="right" vertical="center" wrapText="1"/>
    </xf>
    <xf numFmtId="9" fontId="0" fillId="10" borderId="1" xfId="0" applyNumberFormat="1" applyFill="1" applyBorder="1">
      <alignment vertical="center"/>
    </xf>
    <xf numFmtId="10" fontId="0" fillId="18" borderId="1" xfId="0" applyNumberFormat="1" applyFill="1" applyBorder="1">
      <alignment vertical="center"/>
    </xf>
    <xf numFmtId="0" fontId="8" fillId="0" borderId="0" xfId="0" applyFont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1" borderId="1" xfId="0" applyFill="1" applyBorder="1">
      <alignment vertical="center"/>
    </xf>
    <xf numFmtId="0" fontId="0" fillId="15" borderId="1" xfId="0" applyFill="1" applyBorder="1">
      <alignment vertical="center"/>
    </xf>
    <xf numFmtId="0" fontId="0" fillId="17" borderId="6" xfId="0" applyFill="1" applyBorder="1" applyAlignment="1"/>
    <xf numFmtId="0" fontId="0" fillId="20" borderId="1" xfId="0" applyFill="1" applyBorder="1">
      <alignment vertical="center"/>
    </xf>
    <xf numFmtId="0" fontId="0" fillId="21" borderId="1" xfId="0" applyFill="1" applyBorder="1" applyAlignment="1"/>
    <xf numFmtId="0" fontId="0" fillId="17" borderId="1" xfId="0" applyFill="1" applyBorder="1" applyAlignment="1"/>
    <xf numFmtId="0" fontId="9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7">
    <dxf>
      <font>
        <color rgb="FFF79C8D"/>
      </font>
    </dxf>
    <dxf>
      <font>
        <color rgb="FFF79C8D"/>
      </font>
    </dxf>
    <dxf>
      <font>
        <color auto="1"/>
      </font>
    </dxf>
    <dxf>
      <font>
        <color auto="1"/>
      </font>
    </dxf>
    <dxf>
      <fill>
        <patternFill patternType="solid">
          <bgColor rgb="FFF79C8D"/>
        </patternFill>
      </fill>
    </dxf>
    <dxf>
      <fill>
        <patternFill patternType="solid">
          <bgColor rgb="FFF79C8D"/>
        </patternFill>
      </fill>
    </dxf>
    <dxf>
      <fill>
        <patternFill patternType="solid">
          <bgColor theme="9" tint="0.6"/>
        </patternFill>
      </fill>
    </dxf>
    <dxf>
      <fill>
        <patternFill patternType="solid">
          <bgColor theme="9" tint="0.6"/>
        </patternFill>
      </fill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fill>
        <patternFill patternType="solid">
          <bgColor theme="7" tint="0.8"/>
        </patternFill>
      </fill>
    </dxf>
    <dxf>
      <fill>
        <patternFill patternType="solid">
          <bgColor theme="7" tint="0.8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8"/>
        </patternFill>
      </fill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fill>
        <patternFill patternType="solid">
          <bgColor rgb="FFF79C8D"/>
        </patternFill>
      </fill>
    </dxf>
    <dxf>
      <fill>
        <patternFill patternType="solid">
          <bgColor rgb="FFF79C8D"/>
        </patternFill>
      </fill>
    </dxf>
    <dxf>
      <fill>
        <patternFill patternType="solid">
          <bgColor theme="9" tint="0.6"/>
        </patternFill>
      </fill>
    </dxf>
    <dxf>
      <fill>
        <patternFill patternType="solid">
          <bgColor theme="9" tint="0.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6"/>
      <tableStyleElement type="headerRow" dxfId="25"/>
      <tableStyleElement type="totalRow" dxfId="24"/>
      <tableStyleElement type="firstColumn" dxfId="23"/>
      <tableStyleElement type="lastColumn" dxfId="22"/>
      <tableStyleElement type="firstRowStripe" dxfId="21"/>
      <tableStyleElement type="firstColumnStripe" dxfId="20"/>
    </tableStyle>
    <tableStyle name="PivotStylePreset2_Accent1" table="0" count="10" xr9:uid="{267968C8-6FFD-4C36-ACC1-9EA1FD1885CA}">
      <tableStyleElement type="headerRow" dxfId="36"/>
      <tableStyleElement type="totalRow" dxfId="35"/>
      <tableStyleElement type="firstRowStripe" dxfId="34"/>
      <tableStyleElement type="firstColumnStripe" dxfId="33"/>
      <tableStyleElement type="firstSubtotalRow" dxfId="32"/>
      <tableStyleElement type="secondSubtotalRow" dxfId="31"/>
      <tableStyleElement type="firstRowSubheading" dxfId="30"/>
      <tableStyleElement type="secondRowSubheading" dxfId="29"/>
      <tableStyleElement type="pageFieldLabels" dxfId="28"/>
      <tableStyleElement type="pageFieldValues" dxfId="27"/>
    </tableStyle>
  </tableStyles>
  <colors>
    <mruColors>
      <color rgb="00F79C8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eetMetadata" Target="metadata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SUMMARY!$L$3</c:f>
              <c:strCache>
                <c:ptCount val="1"/>
                <c:pt idx="0">
                  <c:v>2024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SUMMARY!$K$4:$K$15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SUMMARY!$L$4:$L$15</c:f>
              <c:numCache>
                <c:formatCode>General</c:formatCode>
                <c:ptCount val="12"/>
                <c:pt idx="0">
                  <c:v>17500</c:v>
                </c:pt>
                <c:pt idx="1">
                  <c:v>31550</c:v>
                </c:pt>
                <c:pt idx="2">
                  <c:v>32000</c:v>
                </c:pt>
                <c:pt idx="3">
                  <c:v>26650</c:v>
                </c:pt>
                <c:pt idx="4">
                  <c:v>28900</c:v>
                </c:pt>
                <c:pt idx="5">
                  <c:v>34600</c:v>
                </c:pt>
                <c:pt idx="6">
                  <c:v>43150</c:v>
                </c:pt>
                <c:pt idx="7">
                  <c:v>35750</c:v>
                </c:pt>
                <c:pt idx="8">
                  <c:v>41100</c:v>
                </c:pt>
                <c:pt idx="9">
                  <c:v>28650</c:v>
                </c:pt>
                <c:pt idx="10">
                  <c:v>45000</c:v>
                </c:pt>
                <c:pt idx="11">
                  <c:v>35450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SUMMARY!$M$3</c:f>
              <c:strCache>
                <c:ptCount val="1"/>
                <c:pt idx="0">
                  <c:v>2025 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SUMMARY!$K$4:$K$15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SUMMARY!$M$4:$M$15</c:f>
              <c:numCache>
                <c:formatCode>General</c:formatCode>
                <c:ptCount val="12"/>
                <c:pt idx="0">
                  <c:v>41250</c:v>
                </c:pt>
                <c:pt idx="1">
                  <c:v>47400</c:v>
                </c:pt>
                <c:pt idx="2">
                  <c:v>45100</c:v>
                </c:pt>
                <c:pt idx="3">
                  <c:v>34050</c:v>
                </c:pt>
                <c:pt idx="4">
                  <c:v>49050</c:v>
                </c:pt>
                <c:pt idx="5">
                  <c:v>44950</c:v>
                </c:pt>
                <c:pt idx="6">
                  <c:v>61700</c:v>
                </c:pt>
                <c:pt idx="7">
                  <c:v>59650</c:v>
                </c:pt>
                <c:pt idx="8">
                  <c:v>44000</c:v>
                </c:pt>
                <c:pt idx="9">
                  <c:v>36200</c:v>
                </c:pt>
                <c:pt idx="10">
                  <c:v>43200</c:v>
                </c:pt>
                <c:pt idx="11">
                  <c:v>34550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23743483"/>
        <c:axId val="776496490"/>
      </c:lineChart>
      <c:catAx>
        <c:axId val="1237434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6496490"/>
        <c:crosses val="autoZero"/>
        <c:auto val="1"/>
        <c:lblAlgn val="ctr"/>
        <c:lblOffset val="100"/>
        <c:noMultiLvlLbl val="0"/>
      </c:catAx>
      <c:valAx>
        <c:axId val="77649649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37434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[REV_25.xlsx]REV_24!PivotTable1</c:name>
    <c:fmtId val="0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REV_24!$N$7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0" scaled="1"/>
              </a:gra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25400">
                <a:gradFill>
                  <a:gsLst>
                    <a:gs pos="100000">
                      <a:schemeClr val="accent1"/>
                    </a:gs>
                    <a:gs pos="0">
                      <a:schemeClr val="accent1">
                        <a:hueOff val="-1670000"/>
                      </a:schemeClr>
                    </a:gs>
                  </a:gsLst>
                  <a:lin ang="0" scaled="1"/>
                </a:gradFill>
              </a:ln>
              <a:effectLst/>
            </c:spPr>
          </c:marker>
          <c:dLbls>
            <c:dLbl>
              <c:idx val="1"/>
              <c:layout>
                <c:manualLayout>
                  <c:x val="-0.00858115105784879"/>
                  <c:y val="-0.030023640661938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0205651723627756"/>
                  <c:y val="-0.021749408983451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0340287024707797"/>
                  <c:y val="0.021749408983451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0.0204172214824678"/>
                  <c:y val="0.0026004728132387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-0.0239680426098535"/>
                  <c:y val="-0.024586288416075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0.00680574049415594"/>
                  <c:y val="-0.027423167848699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0.00340287024707797"/>
                  <c:y val="0.032860520094562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0.00340287024707797"/>
                  <c:y val="-0.027186761229314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0"/>
                  <c:y val="0.024586288416075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0"/>
                  <c:y val="-0.021749408983451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0.0136114809883119"/>
                  <c:y val="-0.019148936170212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REV_24!$M$8:$M$20</c:f>
              <c:strCache>
                <c:ptCount val="12"/>
                <c:pt idx="0">
                  <c:v>01-2024</c:v>
                </c:pt>
                <c:pt idx="1">
                  <c:v>02-2024</c:v>
                </c:pt>
                <c:pt idx="2">
                  <c:v>03-2024</c:v>
                </c:pt>
                <c:pt idx="3">
                  <c:v>04-2024</c:v>
                </c:pt>
                <c:pt idx="4">
                  <c:v>05-2024</c:v>
                </c:pt>
                <c:pt idx="5">
                  <c:v>06-2024</c:v>
                </c:pt>
                <c:pt idx="6">
                  <c:v>07-2024</c:v>
                </c:pt>
                <c:pt idx="7">
                  <c:v>08-2024</c:v>
                </c:pt>
                <c:pt idx="8">
                  <c:v>09-2024</c:v>
                </c:pt>
                <c:pt idx="9">
                  <c:v>10-2024</c:v>
                </c:pt>
                <c:pt idx="10">
                  <c:v>11-2024</c:v>
                </c:pt>
                <c:pt idx="11">
                  <c:v>12-2024</c:v>
                </c:pt>
              </c:strCache>
            </c:strRef>
          </c:cat>
          <c:val>
            <c:numRef>
              <c:f>REV_24!$N$8:$N$20</c:f>
              <c:numCache>
                <c:formatCode>General</c:formatCode>
                <c:ptCount val="12"/>
                <c:pt idx="0">
                  <c:v>17500</c:v>
                </c:pt>
                <c:pt idx="1">
                  <c:v>31550</c:v>
                </c:pt>
                <c:pt idx="2">
                  <c:v>32000</c:v>
                </c:pt>
                <c:pt idx="3">
                  <c:v>26650</c:v>
                </c:pt>
                <c:pt idx="4">
                  <c:v>28900</c:v>
                </c:pt>
                <c:pt idx="5">
                  <c:v>34600</c:v>
                </c:pt>
                <c:pt idx="6">
                  <c:v>43150</c:v>
                </c:pt>
                <c:pt idx="7">
                  <c:v>35750</c:v>
                </c:pt>
                <c:pt idx="8">
                  <c:v>41100</c:v>
                </c:pt>
                <c:pt idx="9">
                  <c:v>28650</c:v>
                </c:pt>
                <c:pt idx="10">
                  <c:v>45000</c:v>
                </c:pt>
                <c:pt idx="11">
                  <c:v>35450</c:v>
                </c:pt>
              </c:numCache>
            </c:numRef>
          </c:val>
          <c:smooth val="1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marker val="1"/>
        <c:smooth val="1"/>
        <c:axId val="37516435"/>
        <c:axId val="447147041"/>
      </c:lineChart>
      <c:catAx>
        <c:axId val="37516435"/>
        <c:scaling>
          <c:orientation val="minMax"/>
        </c:scaling>
        <c:delete val="0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7147041"/>
        <c:crosses val="autoZero"/>
        <c:auto val="1"/>
        <c:lblAlgn val="ctr"/>
        <c:lblOffset val="100"/>
        <c:noMultiLvlLbl val="0"/>
      </c:catAx>
      <c:valAx>
        <c:axId val="44714704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5164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view3D>
      <c:rotX val="30"/>
      <c:rotY val="0"/>
      <c:depthPercent val="100"/>
      <c:rAngAx val="0"/>
    </c:view3D>
    <c:plotArea>
      <c:layout>
        <c:manualLayout>
          <c:layoutTarget val="inner"/>
          <c:xMode val="edge"/>
          <c:yMode val="edge"/>
          <c:x val="0.00394736842105263"/>
          <c:y val="0.291666666666667"/>
          <c:w val="0.942105263157895"/>
          <c:h val="0.666666666666667"/>
        </c:manualLayout>
      </c:layout>
      <c:pie3DChart>
        <c:varyColors val="1"/>
        <c:ser>
          <c:idx val="0"/>
          <c:order val="0"/>
          <c:tx>
            <c:strRef>
              <c:f>REV_24!$N$23</c:f>
              <c:strCache>
                <c:ptCount val="1"/>
                <c:pt idx="0">
                  <c:v>NO. OF PATIENTS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Lbls>
            <c:dLbl>
              <c:idx val="1"/>
              <c:layout>
                <c:manualLayout>
                  <c:x val="0.0482569122445475"/>
                  <c:y val="-0.0554272517321016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0724712347587154"/>
                  <c:y val="-0.0247443088089739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.0515198351365276"/>
                  <c:y val="0.0442829849953536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0961703589215181"/>
                  <c:y val="0.032461141413358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-0.0498025072986433"/>
                  <c:y val="0.023377914177582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REV_24!$M$24:$M$30</c:f>
              <c:strCache>
                <c:ptCount val="7"/>
                <c:pt idx="0">
                  <c:v>Medic</c:v>
                </c:pt>
                <c:pt idx="1">
                  <c:v>Gynae</c:v>
                </c:pt>
                <c:pt idx="2">
                  <c:v>Pedi</c:v>
                </c:pt>
                <c:pt idx="3">
                  <c:v>Ortho</c:v>
                </c:pt>
                <c:pt idx="4">
                  <c:v>ENT</c:v>
                </c:pt>
                <c:pt idx="5">
                  <c:v>Derma</c:v>
                </c:pt>
                <c:pt idx="6">
                  <c:v>Grand Total</c:v>
                </c:pt>
              </c:strCache>
            </c:strRef>
          </c:cat>
          <c:val>
            <c:numRef>
              <c:f>REV_24!$N$24:$N$30</c:f>
              <c:numCache>
                <c:formatCode>General</c:formatCode>
                <c:ptCount val="7"/>
                <c:pt idx="0">
                  <c:v>733</c:v>
                </c:pt>
                <c:pt idx="1">
                  <c:v>161</c:v>
                </c:pt>
                <c:pt idx="2">
                  <c:v>52</c:v>
                </c:pt>
                <c:pt idx="3">
                  <c:v>41</c:v>
                </c:pt>
                <c:pt idx="4">
                  <c:v>49</c:v>
                </c:pt>
                <c:pt idx="5">
                  <c:v>70</c:v>
                </c:pt>
                <c:pt idx="6">
                  <c:v>1106</c:v>
                </c:pt>
              </c:numCache>
            </c:numRef>
          </c:val>
        </c:ser>
        <c:ser>
          <c:idx val="1"/>
          <c:order val="1"/>
          <c:tx>
            <c:strRef>
              <c:f>REV_24!$O$23</c:f>
              <c:strCache>
                <c:ptCount val="1"/>
                <c:pt idx="0">
                  <c:v>CONTRIBUTION %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REV_24!$M$24:$M$30</c:f>
              <c:strCache>
                <c:ptCount val="7"/>
                <c:pt idx="0">
                  <c:v>Medic</c:v>
                </c:pt>
                <c:pt idx="1">
                  <c:v>Gynae</c:v>
                </c:pt>
                <c:pt idx="2">
                  <c:v>Pedi</c:v>
                </c:pt>
                <c:pt idx="3">
                  <c:v>Ortho</c:v>
                </c:pt>
                <c:pt idx="4">
                  <c:v>ENT</c:v>
                </c:pt>
                <c:pt idx="5">
                  <c:v>Derma</c:v>
                </c:pt>
                <c:pt idx="6">
                  <c:v>Grand Total</c:v>
                </c:pt>
              </c:strCache>
            </c:strRef>
          </c:cat>
          <c:val>
            <c:numRef>
              <c:f>REV_24!$O$24:$O$30</c:f>
              <c:numCache>
                <c:formatCode>0%</c:formatCode>
                <c:ptCount val="7"/>
                <c:pt idx="0">
                  <c:v>0.662748643761302</c:v>
                </c:pt>
                <c:pt idx="1">
                  <c:v>0.145569620253165</c:v>
                </c:pt>
                <c:pt idx="2">
                  <c:v>0.0470162748643761</c:v>
                </c:pt>
                <c:pt idx="3">
                  <c:v>0.0370705244122966</c:v>
                </c:pt>
                <c:pt idx="4">
                  <c:v>0.0443037974683544</c:v>
                </c:pt>
                <c:pt idx="5">
                  <c:v>0.0632911392405063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Number of patients (monthly)</a:t>
            </a:r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REV_24!$A$35:$A$47</c:f>
              <c:strCache>
                <c:ptCount val="13"/>
                <c:pt idx="0">
                  <c:v>MONTH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REV_24!$B$35:$B$47</c:f>
              <c:numCache>
                <c:formatCode>General</c:formatCode>
                <c:ptCount val="13"/>
                <c:pt idx="0">
                  <c:v>0</c:v>
                </c:pt>
                <c:pt idx="1">
                  <c:v>52</c:v>
                </c:pt>
                <c:pt idx="2">
                  <c:v>85</c:v>
                </c:pt>
                <c:pt idx="3">
                  <c:v>87</c:v>
                </c:pt>
                <c:pt idx="4">
                  <c:v>75</c:v>
                </c:pt>
                <c:pt idx="5">
                  <c:v>74</c:v>
                </c:pt>
                <c:pt idx="6">
                  <c:v>89</c:v>
                </c:pt>
                <c:pt idx="7">
                  <c:v>113</c:v>
                </c:pt>
                <c:pt idx="8">
                  <c:v>100</c:v>
                </c:pt>
                <c:pt idx="9">
                  <c:v>126</c:v>
                </c:pt>
                <c:pt idx="10">
                  <c:v>75</c:v>
                </c:pt>
                <c:pt idx="11">
                  <c:v>124</c:v>
                </c:pt>
                <c:pt idx="12">
                  <c:v>106</c:v>
                </c:pt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REV_24!$A$35:$A$47</c:f>
              <c:strCache>
                <c:ptCount val="13"/>
                <c:pt idx="0">
                  <c:v>MONTH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REV_24!$C$35:$C$47</c:f>
              <c:numCache>
                <c:formatCode>General</c:formatCode>
                <c:ptCount val="13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726013849"/>
        <c:axId val="693219289"/>
      </c:barChart>
      <c:catAx>
        <c:axId val="72601384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3219289"/>
        <c:crosses val="autoZero"/>
        <c:auto val="1"/>
        <c:lblAlgn val="ctr"/>
        <c:lblOffset val="100"/>
        <c:noMultiLvlLbl val="0"/>
      </c:catAx>
      <c:valAx>
        <c:axId val="69321928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601384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[REV_25.xlsx]REV_25!PivotTable1</c:name>
    <c:fmtId val="0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REV_25!$N$7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0" scaled="1"/>
              </a:gra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25400">
                <a:gradFill>
                  <a:gsLst>
                    <a:gs pos="100000">
                      <a:schemeClr val="accent1"/>
                    </a:gs>
                    <a:gs pos="0">
                      <a:schemeClr val="accent1">
                        <a:hueOff val="-1670000"/>
                      </a:schemeClr>
                    </a:gs>
                  </a:gsLst>
                  <a:lin ang="0" scaled="1"/>
                </a:gradFill>
              </a:ln>
              <a:effectLst/>
            </c:spPr>
          </c:marker>
          <c:dLbls>
            <c:dLbl>
              <c:idx val="0"/>
              <c:layout>
                <c:manualLayout>
                  <c:x val="-0.00236375574523966"/>
                  <c:y val="0.032638888888888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00236375574523966"/>
                  <c:y val="0.032638888888888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0151017728168089"/>
                  <c:y val="0.0347222222222222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.00695994747209455"/>
                  <c:y val="0.0428240740740741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0236375574523966"/>
                  <c:y val="0.0347222222222222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0.010505581089954"/>
                  <c:y val="0.032638888888888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0.00814182534471438"/>
                  <c:y val="0.0347222222222222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0.0115561391989494"/>
                  <c:y val="0.0347222222222222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0236375574523966"/>
                  <c:y val="0.026388888888888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0.00577806959947472"/>
                  <c:y val="0.0266203703703704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0.00695994747209455"/>
                  <c:y val="0.0284722222222222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0.0103742613263296"/>
                  <c:y val="0.028703703703703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REV_25!$M$8:$M$20</c:f>
              <c:strCache>
                <c:ptCount val="12"/>
                <c:pt idx="0">
                  <c:v>01-2025</c:v>
                </c:pt>
                <c:pt idx="1">
                  <c:v>02-2025</c:v>
                </c:pt>
                <c:pt idx="2">
                  <c:v>03-2025</c:v>
                </c:pt>
                <c:pt idx="3">
                  <c:v>04-2025</c:v>
                </c:pt>
                <c:pt idx="4">
                  <c:v>05-2025</c:v>
                </c:pt>
                <c:pt idx="5">
                  <c:v>06-2025</c:v>
                </c:pt>
                <c:pt idx="6">
                  <c:v>07-2025</c:v>
                </c:pt>
                <c:pt idx="7">
                  <c:v>08-2025</c:v>
                </c:pt>
                <c:pt idx="8">
                  <c:v>09-2025</c:v>
                </c:pt>
                <c:pt idx="9">
                  <c:v>10-2025</c:v>
                </c:pt>
                <c:pt idx="10">
                  <c:v>11-2025</c:v>
                </c:pt>
                <c:pt idx="11">
                  <c:v>12-2025</c:v>
                </c:pt>
              </c:strCache>
            </c:strRef>
          </c:cat>
          <c:val>
            <c:numRef>
              <c:f>REV_25!$N$8:$N$20</c:f>
              <c:numCache>
                <c:formatCode>General</c:formatCode>
                <c:ptCount val="12"/>
                <c:pt idx="0">
                  <c:v>41250</c:v>
                </c:pt>
                <c:pt idx="1">
                  <c:v>47400</c:v>
                </c:pt>
                <c:pt idx="2">
                  <c:v>45100</c:v>
                </c:pt>
                <c:pt idx="3">
                  <c:v>34050</c:v>
                </c:pt>
                <c:pt idx="4">
                  <c:v>49050</c:v>
                </c:pt>
                <c:pt idx="5">
                  <c:v>44950</c:v>
                </c:pt>
                <c:pt idx="6">
                  <c:v>61700</c:v>
                </c:pt>
                <c:pt idx="7">
                  <c:v>59650</c:v>
                </c:pt>
                <c:pt idx="8">
                  <c:v>44000</c:v>
                </c:pt>
                <c:pt idx="9">
                  <c:v>36200</c:v>
                </c:pt>
                <c:pt idx="10">
                  <c:v>43200</c:v>
                </c:pt>
                <c:pt idx="11">
                  <c:v>34550</c:v>
                </c:pt>
              </c:numCache>
            </c:numRef>
          </c:val>
          <c:smooth val="1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marker val="1"/>
        <c:smooth val="1"/>
        <c:axId val="827197704"/>
        <c:axId val="896914489"/>
      </c:lineChart>
      <c:catAx>
        <c:axId val="8271977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6914489"/>
        <c:crosses val="autoZero"/>
        <c:auto val="1"/>
        <c:lblAlgn val="ctr"/>
        <c:lblOffset val="100"/>
        <c:noMultiLvlLbl val="0"/>
      </c:catAx>
      <c:valAx>
        <c:axId val="89691448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monthly revenue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7197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7a3305c-a944-46df-8b6f-0b4c9ab58b3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Patient Distribution by Department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/>
      <c:pie3DChart>
        <c:varyColors val="1"/>
        <c:ser>
          <c:idx val="0"/>
          <c:order val="0"/>
          <c:tx>
            <c:strRef>
              <c:f>REV_25!$N$23</c:f>
              <c:strCache>
                <c:ptCount val="1"/>
                <c:pt idx="0">
                  <c:v>NO. OF PATIENTS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Lbls>
            <c:dLbl>
              <c:idx val="0"/>
              <c:layout>
                <c:manualLayout>
                  <c:x val="0.0258663822566738"/>
                  <c:y val="-0.226780834286027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00148257968865827"/>
                  <c:y val="-0.0138121546961326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266864343958488"/>
                  <c:y val="0.027624309392265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340993328391401"/>
                  <c:y val="-0.0138121546961326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t>2%</a:t>
                    </a:r>
                  </a:p>
                </c:rich>
              </c:tx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415122312824314"/>
                  <c:y val="-0.075966850828729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0.0237212750185322"/>
                  <c:y val="-0.093232044198895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REV_25!$M$24:$M$29</c:f>
              <c:strCache>
                <c:ptCount val="6"/>
                <c:pt idx="0">
                  <c:v>Medic</c:v>
                </c:pt>
                <c:pt idx="1">
                  <c:v>Gynae</c:v>
                </c:pt>
                <c:pt idx="2">
                  <c:v>Pedi</c:v>
                </c:pt>
                <c:pt idx="3">
                  <c:v>Ortho</c:v>
                </c:pt>
                <c:pt idx="4">
                  <c:v>ENT</c:v>
                </c:pt>
                <c:pt idx="5">
                  <c:v>Derma</c:v>
                </c:pt>
              </c:strCache>
            </c:strRef>
          </c:cat>
          <c:val>
            <c:numRef>
              <c:f>REV_25!$N$24:$N$29</c:f>
              <c:numCache>
                <c:formatCode>General</c:formatCode>
                <c:ptCount val="6"/>
                <c:pt idx="0">
                  <c:v>741</c:v>
                </c:pt>
                <c:pt idx="1">
                  <c:v>166</c:v>
                </c:pt>
                <c:pt idx="2">
                  <c:v>70</c:v>
                </c:pt>
                <c:pt idx="3">
                  <c:v>29</c:v>
                </c:pt>
                <c:pt idx="4">
                  <c:v>45</c:v>
                </c:pt>
                <c:pt idx="5">
                  <c:v>117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29eb6c9-6db5-4152-9b20-ce00b77742c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Number of patients (monthly)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REV_25!$A$38:$A$50</c:f>
              <c:strCache>
                <c:ptCount val="13"/>
                <c:pt idx="0">
                  <c:v>MONTH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REV_25!$B$38:$B$50</c:f>
              <c:numCache>
                <c:formatCode>General</c:formatCode>
                <c:ptCount val="13"/>
                <c:pt idx="0">
                  <c:v>0</c:v>
                </c:pt>
                <c:pt idx="1">
                  <c:v>110</c:v>
                </c:pt>
                <c:pt idx="2">
                  <c:v>127</c:v>
                </c:pt>
                <c:pt idx="3">
                  <c:v>130</c:v>
                </c:pt>
                <c:pt idx="4">
                  <c:v>96</c:v>
                </c:pt>
                <c:pt idx="5">
                  <c:v>128</c:v>
                </c:pt>
                <c:pt idx="6">
                  <c:v>134</c:v>
                </c:pt>
                <c:pt idx="7">
                  <c:v>171</c:v>
                </c:pt>
                <c:pt idx="8">
                  <c:v>171</c:v>
                </c:pt>
                <c:pt idx="9">
                  <c:v>140</c:v>
                </c:pt>
                <c:pt idx="10">
                  <c:v>98</c:v>
                </c:pt>
                <c:pt idx="11">
                  <c:v>124</c:v>
                </c:pt>
                <c:pt idx="12">
                  <c:v>106</c:v>
                </c:pt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REV_25!$A$38:$A$50</c:f>
              <c:strCache>
                <c:ptCount val="13"/>
                <c:pt idx="0">
                  <c:v>MONTH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REV_25!$C$38:$C$50</c:f>
              <c:numCache>
                <c:formatCode>General</c:formatCode>
                <c:ptCount val="13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100"/>
        <c:axId val="179398918"/>
        <c:axId val="207817879"/>
      </c:barChart>
      <c:catAx>
        <c:axId val="17939891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7817879"/>
        <c:crosses val="autoZero"/>
        <c:auto val="1"/>
        <c:lblAlgn val="ctr"/>
        <c:lblOffset val="100"/>
        <c:noMultiLvlLbl val="0"/>
      </c:catAx>
      <c:valAx>
        <c:axId val="207817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939891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eb8b92c-debe-47c8-8168-a14146f217e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0" scaled="1"/>
        </a:gradFill>
        <a:round/>
      </a:ln>
      <a:effectLst/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bg1"/>
      </a:solidFill>
      <a:ln w="25400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0" scaled="1"/>
        </a:gra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9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0" scaled="1"/>
        </a:gradFill>
        <a:round/>
      </a:ln>
      <a:effectLst/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bg1"/>
      </a:solidFill>
      <a:ln w="25400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0" scaled="1"/>
        </a:gra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9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6" Type="http://schemas.openxmlformats.org/officeDocument/2006/relationships/image" Target="../media/image3.png"/><Relationship Id="rId5" Type="http://schemas.openxmlformats.org/officeDocument/2006/relationships/image" Target="../media/image2.png"/><Relationship Id="rId4" Type="http://schemas.openxmlformats.org/officeDocument/2006/relationships/image" Target="../media/image1.png"/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323850</xdr:colOff>
      <xdr:row>11</xdr:row>
      <xdr:rowOff>57150</xdr:rowOff>
    </xdr:from>
    <xdr:to>
      <xdr:col>9</xdr:col>
      <xdr:colOff>38100</xdr:colOff>
      <xdr:row>19</xdr:row>
      <xdr:rowOff>28575</xdr:rowOff>
    </xdr:to>
    <xdr:sp>
      <xdr:nvSpPr>
        <xdr:cNvPr id="2" name="Rounded Rectangle 1"/>
        <xdr:cNvSpPr/>
      </xdr:nvSpPr>
      <xdr:spPr>
        <a:xfrm>
          <a:off x="3352800" y="2343150"/>
          <a:ext cx="2762250" cy="1495425"/>
        </a:xfrm>
        <a:prstGeom prst="roundRect">
          <a:avLst/>
        </a:prstGeom>
      </xdr:spPr>
      <xdr:style>
        <a:lnRef idx="0">
          <a:srgbClr val="FFFFFF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4</xdr:col>
      <xdr:colOff>346075</xdr:colOff>
      <xdr:row>1</xdr:row>
      <xdr:rowOff>117475</xdr:rowOff>
    </xdr:from>
    <xdr:to>
      <xdr:col>9</xdr:col>
      <xdr:colOff>60325</xdr:colOff>
      <xdr:row>9</xdr:row>
      <xdr:rowOff>88900</xdr:rowOff>
    </xdr:to>
    <xdr:sp>
      <xdr:nvSpPr>
        <xdr:cNvPr id="3" name="Rounded Rectangle 2"/>
        <xdr:cNvSpPr/>
      </xdr:nvSpPr>
      <xdr:spPr>
        <a:xfrm>
          <a:off x="3375025" y="307975"/>
          <a:ext cx="2762250" cy="1685925"/>
        </a:xfrm>
        <a:prstGeom prst="roundRect">
          <a:avLst/>
        </a:prstGeom>
      </xdr:spPr>
      <xdr:style>
        <a:lnRef idx="0">
          <a:srgbClr val="FFFFFF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4</xdr:col>
      <xdr:colOff>561975</xdr:colOff>
      <xdr:row>2</xdr:row>
      <xdr:rowOff>123825</xdr:rowOff>
    </xdr:from>
    <xdr:to>
      <xdr:col>8</xdr:col>
      <xdr:colOff>419100</xdr:colOff>
      <xdr:row>8</xdr:row>
      <xdr:rowOff>66675</xdr:rowOff>
    </xdr:to>
    <xdr:sp>
      <xdr:nvSpPr>
        <xdr:cNvPr id="4" name="Text Box 3"/>
        <xdr:cNvSpPr txBox="1"/>
      </xdr:nvSpPr>
      <xdr:spPr>
        <a:xfrm>
          <a:off x="3590925" y="504825"/>
          <a:ext cx="2295525" cy="1276350"/>
        </a:xfrm>
        <a:prstGeom prst="rect">
          <a:avLst/>
        </a:prstGeom>
        <a:solidFill>
          <a:schemeClr val="accen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en-US" sz="900"/>
            <a:t>In 2024, the healthcare facility served 1,106 patients and generated ₹400,300 in revenue. Medicine was the most utilized service, contributing the majority of patient visits. The facility operated at a loss, with a profit margin of −53%.</a:t>
          </a:r>
          <a:endParaRPr lang="en-US" sz="900"/>
        </a:p>
      </xdr:txBody>
    </xdr:sp>
    <xdr:clientData/>
  </xdr:twoCellAnchor>
  <xdr:twoCellAnchor>
    <xdr:from>
      <xdr:col>4</xdr:col>
      <xdr:colOff>523875</xdr:colOff>
      <xdr:row>12</xdr:row>
      <xdr:rowOff>133350</xdr:rowOff>
    </xdr:from>
    <xdr:to>
      <xdr:col>8</xdr:col>
      <xdr:colOff>381000</xdr:colOff>
      <xdr:row>18</xdr:row>
      <xdr:rowOff>76200</xdr:rowOff>
    </xdr:to>
    <xdr:sp>
      <xdr:nvSpPr>
        <xdr:cNvPr id="5" name="Text Box 4"/>
        <xdr:cNvSpPr txBox="1"/>
      </xdr:nvSpPr>
      <xdr:spPr>
        <a:xfrm>
          <a:off x="3552825" y="2609850"/>
          <a:ext cx="2295525" cy="1085850"/>
        </a:xfrm>
        <a:prstGeom prst="rect">
          <a:avLst/>
        </a:prstGeom>
        <a:solidFill>
          <a:schemeClr val="accen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900"/>
            <a:t>In 2025, patient volume increased to 1,168 and revenue rose to ₹541,100. Strong growth was observed in Dermatology and Pediatrics. The profit margin improved to −13.55%, indicating better financial performance despite remaining unprofitable.</a:t>
          </a:r>
          <a:endParaRPr lang="en-US" sz="900"/>
        </a:p>
      </xdr:txBody>
    </xdr:sp>
    <xdr:clientData/>
  </xdr:twoCellAnchor>
  <xdr:twoCellAnchor>
    <xdr:from>
      <xdr:col>0</xdr:col>
      <xdr:colOff>1095375</xdr:colOff>
      <xdr:row>21</xdr:row>
      <xdr:rowOff>104775</xdr:rowOff>
    </xdr:from>
    <xdr:to>
      <xdr:col>7</xdr:col>
      <xdr:colOff>581025</xdr:colOff>
      <xdr:row>31</xdr:row>
      <xdr:rowOff>171450</xdr:rowOff>
    </xdr:to>
    <xdr:sp>
      <xdr:nvSpPr>
        <xdr:cNvPr id="6" name="Flowchart: Display 5"/>
        <xdr:cNvSpPr/>
      </xdr:nvSpPr>
      <xdr:spPr>
        <a:xfrm>
          <a:off x="1095375" y="4295775"/>
          <a:ext cx="4343400" cy="1971675"/>
        </a:xfrm>
        <a:prstGeom prst="flowChartDisplay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2</xdr:col>
      <xdr:colOff>161925</xdr:colOff>
      <xdr:row>22</xdr:row>
      <xdr:rowOff>95250</xdr:rowOff>
    </xdr:from>
    <xdr:to>
      <xdr:col>6</xdr:col>
      <xdr:colOff>590550</xdr:colOff>
      <xdr:row>31</xdr:row>
      <xdr:rowOff>0</xdr:rowOff>
    </xdr:to>
    <xdr:sp>
      <xdr:nvSpPr>
        <xdr:cNvPr id="7" name="Text Box 6"/>
        <xdr:cNvSpPr txBox="1"/>
      </xdr:nvSpPr>
      <xdr:spPr>
        <a:xfrm>
          <a:off x="1876425" y="4476750"/>
          <a:ext cx="2962275" cy="1619250"/>
        </a:xfrm>
        <a:prstGeom prst="rect">
          <a:avLst/>
        </a:prstGeom>
        <a:solidFill>
          <a:schemeClr val="accen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en-US" sz="1200"/>
            <a:t>Between 2024 and 2025, patient volume increased by 6%, while revenue grew by 35%. Losses were significantly reduced, and profitability improved. The results suggest improved operational efficiency and movement toward financial sustainability.</a:t>
          </a:r>
          <a:endParaRPr lang="en-US" sz="1200"/>
        </a:p>
      </xdr:txBody>
    </xdr:sp>
    <xdr:clientData/>
  </xdr:twoCellAnchor>
  <xdr:twoCellAnchor>
    <xdr:from>
      <xdr:col>13</xdr:col>
      <xdr:colOff>241300</xdr:colOff>
      <xdr:row>1</xdr:row>
      <xdr:rowOff>158750</xdr:rowOff>
    </xdr:from>
    <xdr:to>
      <xdr:col>21</xdr:col>
      <xdr:colOff>104775</xdr:colOff>
      <xdr:row>14</xdr:row>
      <xdr:rowOff>92710</xdr:rowOff>
    </xdr:to>
    <xdr:graphicFrame>
      <xdr:nvGraphicFramePr>
        <xdr:cNvPr id="11" name="Chart 10"/>
        <xdr:cNvGraphicFramePr/>
      </xdr:nvGraphicFramePr>
      <xdr:xfrm>
        <a:off x="8756650" y="349250"/>
        <a:ext cx="4740275" cy="2600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238125</xdr:colOff>
      <xdr:row>0</xdr:row>
      <xdr:rowOff>180975</xdr:rowOff>
    </xdr:from>
    <xdr:to>
      <xdr:col>14</xdr:col>
      <xdr:colOff>85090</xdr:colOff>
      <xdr:row>5</xdr:row>
      <xdr:rowOff>27940</xdr:rowOff>
    </xdr:to>
    <xdr:sp>
      <xdr:nvSpPr>
        <xdr:cNvPr id="2" name="Rounded Rectangle 1"/>
        <xdr:cNvSpPr/>
      </xdr:nvSpPr>
      <xdr:spPr>
        <a:xfrm>
          <a:off x="7372350" y="180975"/>
          <a:ext cx="2342515" cy="799465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20</xdr:col>
      <xdr:colOff>346075</xdr:colOff>
      <xdr:row>0</xdr:row>
      <xdr:rowOff>155575</xdr:rowOff>
    </xdr:from>
    <xdr:to>
      <xdr:col>23</xdr:col>
      <xdr:colOff>193040</xdr:colOff>
      <xdr:row>5</xdr:row>
      <xdr:rowOff>2540</xdr:rowOff>
    </xdr:to>
    <xdr:sp>
      <xdr:nvSpPr>
        <xdr:cNvPr id="3" name="Rounded Rectangle 2"/>
        <xdr:cNvSpPr/>
      </xdr:nvSpPr>
      <xdr:spPr>
        <a:xfrm>
          <a:off x="14147800" y="155575"/>
          <a:ext cx="2234565" cy="799465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17</xdr:col>
      <xdr:colOff>311150</xdr:colOff>
      <xdr:row>0</xdr:row>
      <xdr:rowOff>168275</xdr:rowOff>
    </xdr:from>
    <xdr:to>
      <xdr:col>20</xdr:col>
      <xdr:colOff>158115</xdr:colOff>
      <xdr:row>5</xdr:row>
      <xdr:rowOff>15240</xdr:rowOff>
    </xdr:to>
    <xdr:sp>
      <xdr:nvSpPr>
        <xdr:cNvPr id="4" name="Rounded Rectangle 3"/>
        <xdr:cNvSpPr/>
      </xdr:nvSpPr>
      <xdr:spPr>
        <a:xfrm>
          <a:off x="12284075" y="168275"/>
          <a:ext cx="1675765" cy="799465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14</xdr:col>
      <xdr:colOff>285750</xdr:colOff>
      <xdr:row>0</xdr:row>
      <xdr:rowOff>180975</xdr:rowOff>
    </xdr:from>
    <xdr:to>
      <xdr:col>17</xdr:col>
      <xdr:colOff>132715</xdr:colOff>
      <xdr:row>5</xdr:row>
      <xdr:rowOff>27940</xdr:rowOff>
    </xdr:to>
    <xdr:sp>
      <xdr:nvSpPr>
        <xdr:cNvPr id="5" name="Rounded Rectangle 4"/>
        <xdr:cNvSpPr/>
      </xdr:nvSpPr>
      <xdr:spPr>
        <a:xfrm>
          <a:off x="9915525" y="180975"/>
          <a:ext cx="2190115" cy="799465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oneCellAnchor>
    <xdr:from>
      <xdr:col>11</xdr:col>
      <xdr:colOff>466725</xdr:colOff>
      <xdr:row>1</xdr:row>
      <xdr:rowOff>9525</xdr:rowOff>
    </xdr:from>
    <xdr:ext cx="1120775" cy="274320"/>
    <xdr:sp>
      <xdr:nvSpPr>
        <xdr:cNvPr id="6" name="Text Box 5"/>
        <xdr:cNvSpPr txBox="1"/>
      </xdr:nvSpPr>
      <xdr:spPr>
        <a:xfrm>
          <a:off x="7600950" y="200025"/>
          <a:ext cx="1120775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/>
            <a:t>TOTAL REVENUE</a:t>
          </a:r>
          <a:endParaRPr lang="en-US" sz="2000" b="1"/>
        </a:p>
      </xdr:txBody>
    </xdr:sp>
    <xdr:clientData/>
  </xdr:oneCellAnchor>
  <xdr:twoCellAnchor>
    <xdr:from>
      <xdr:col>11</xdr:col>
      <xdr:colOff>381000</xdr:colOff>
      <xdr:row>2</xdr:row>
      <xdr:rowOff>114300</xdr:rowOff>
    </xdr:from>
    <xdr:to>
      <xdr:col>13</xdr:col>
      <xdr:colOff>596900</xdr:colOff>
      <xdr:row>4</xdr:row>
      <xdr:rowOff>160020</xdr:rowOff>
    </xdr:to>
    <xdr:sp>
      <xdr:nvSpPr>
        <xdr:cNvPr id="7" name="Oval 6"/>
        <xdr:cNvSpPr/>
      </xdr:nvSpPr>
      <xdr:spPr>
        <a:xfrm>
          <a:off x="7515225" y="495300"/>
          <a:ext cx="1635125" cy="426720"/>
        </a:xfrm>
        <a:prstGeom prst="ellipse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1"/>
            <a:t>₹4,00,300</a:t>
          </a:r>
          <a:endParaRPr lang="en-US" sz="1600" b="1"/>
        </a:p>
      </xdr:txBody>
    </xdr:sp>
    <xdr:clientData/>
  </xdr:twoCellAnchor>
  <xdr:twoCellAnchor>
    <xdr:from>
      <xdr:col>14</xdr:col>
      <xdr:colOff>590550</xdr:colOff>
      <xdr:row>1</xdr:row>
      <xdr:rowOff>28575</xdr:rowOff>
    </xdr:from>
    <xdr:to>
      <xdr:col>16</xdr:col>
      <xdr:colOff>457200</xdr:colOff>
      <xdr:row>2</xdr:row>
      <xdr:rowOff>66675</xdr:rowOff>
    </xdr:to>
    <xdr:sp>
      <xdr:nvSpPr>
        <xdr:cNvPr id="8" name="Text Box 7"/>
        <xdr:cNvSpPr txBox="1"/>
      </xdr:nvSpPr>
      <xdr:spPr>
        <a:xfrm>
          <a:off x="10220325" y="219075"/>
          <a:ext cx="1600200" cy="22860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/>
            <a:t>TOTAL PROFIT</a:t>
          </a:r>
          <a:endParaRPr lang="en-US" sz="1100"/>
        </a:p>
      </xdr:txBody>
    </xdr:sp>
    <xdr:clientData/>
  </xdr:twoCellAnchor>
  <xdr:twoCellAnchor>
    <xdr:from>
      <xdr:col>18</xdr:col>
      <xdr:colOff>34925</xdr:colOff>
      <xdr:row>1</xdr:row>
      <xdr:rowOff>15875</xdr:rowOff>
    </xdr:from>
    <xdr:to>
      <xdr:col>20</xdr:col>
      <xdr:colOff>62865</xdr:colOff>
      <xdr:row>2</xdr:row>
      <xdr:rowOff>63500</xdr:rowOff>
    </xdr:to>
    <xdr:sp>
      <xdr:nvSpPr>
        <xdr:cNvPr id="9" name="Text Box 8"/>
        <xdr:cNvSpPr txBox="1"/>
      </xdr:nvSpPr>
      <xdr:spPr>
        <a:xfrm>
          <a:off x="12617450" y="206375"/>
          <a:ext cx="1247140" cy="238125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/>
            <a:t>TOTAL PATIENTS</a:t>
          </a:r>
          <a:endParaRPr lang="en-US" sz="1100"/>
        </a:p>
      </xdr:txBody>
    </xdr:sp>
    <xdr:clientData/>
  </xdr:twoCellAnchor>
  <xdr:twoCellAnchor>
    <xdr:from>
      <xdr:col>20</xdr:col>
      <xdr:colOff>431800</xdr:colOff>
      <xdr:row>1</xdr:row>
      <xdr:rowOff>22225</xdr:rowOff>
    </xdr:from>
    <xdr:to>
      <xdr:col>23</xdr:col>
      <xdr:colOff>69850</xdr:colOff>
      <xdr:row>2</xdr:row>
      <xdr:rowOff>107315</xdr:rowOff>
    </xdr:to>
    <xdr:sp>
      <xdr:nvSpPr>
        <xdr:cNvPr id="10" name="Text Box 9"/>
        <xdr:cNvSpPr txBox="1"/>
      </xdr:nvSpPr>
      <xdr:spPr>
        <a:xfrm>
          <a:off x="14233525" y="212725"/>
          <a:ext cx="2025650" cy="27559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800"/>
            <a:t>AVERAGEMONTHLY REVENUE</a:t>
          </a:r>
          <a:endParaRPr lang="en-US" sz="800"/>
        </a:p>
      </xdr:txBody>
    </xdr:sp>
    <xdr:clientData/>
  </xdr:twoCellAnchor>
  <xdr:twoCellAnchor>
    <xdr:from>
      <xdr:col>14</xdr:col>
      <xdr:colOff>409575</xdr:colOff>
      <xdr:row>2</xdr:row>
      <xdr:rowOff>114300</xdr:rowOff>
    </xdr:from>
    <xdr:to>
      <xdr:col>17</xdr:col>
      <xdr:colOff>15875</xdr:colOff>
      <xdr:row>4</xdr:row>
      <xdr:rowOff>160020</xdr:rowOff>
    </xdr:to>
    <xdr:sp>
      <xdr:nvSpPr>
        <xdr:cNvPr id="11" name="Oval 10"/>
        <xdr:cNvSpPr/>
      </xdr:nvSpPr>
      <xdr:spPr>
        <a:xfrm>
          <a:off x="10039350" y="495300"/>
          <a:ext cx="1949450" cy="426720"/>
        </a:xfrm>
        <a:prstGeom prst="ellipse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1"/>
            <a:t>-₹2,14,100</a:t>
          </a:r>
          <a:endParaRPr lang="en-US" sz="1600" b="1"/>
        </a:p>
      </xdr:txBody>
    </xdr:sp>
    <xdr:clientData/>
  </xdr:twoCellAnchor>
  <xdr:twoCellAnchor>
    <xdr:from>
      <xdr:col>17</xdr:col>
      <xdr:colOff>454025</xdr:colOff>
      <xdr:row>2</xdr:row>
      <xdr:rowOff>63500</xdr:rowOff>
    </xdr:from>
    <xdr:to>
      <xdr:col>20</xdr:col>
      <xdr:colOff>60325</xdr:colOff>
      <xdr:row>4</xdr:row>
      <xdr:rowOff>109220</xdr:rowOff>
    </xdr:to>
    <xdr:sp>
      <xdr:nvSpPr>
        <xdr:cNvPr id="12" name="Oval 11"/>
        <xdr:cNvSpPr/>
      </xdr:nvSpPr>
      <xdr:spPr>
        <a:xfrm>
          <a:off x="12426950" y="444500"/>
          <a:ext cx="1435100" cy="426720"/>
        </a:xfrm>
        <a:prstGeom prst="ellipse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1"/>
            <a:t>1106</a:t>
          </a:r>
          <a:endParaRPr lang="en-US" sz="1600" b="1"/>
        </a:p>
      </xdr:txBody>
    </xdr:sp>
    <xdr:clientData/>
  </xdr:twoCellAnchor>
  <xdr:twoCellAnchor>
    <xdr:from>
      <xdr:col>20</xdr:col>
      <xdr:colOff>479425</xdr:colOff>
      <xdr:row>2</xdr:row>
      <xdr:rowOff>50800</xdr:rowOff>
    </xdr:from>
    <xdr:to>
      <xdr:col>23</xdr:col>
      <xdr:colOff>85725</xdr:colOff>
      <xdr:row>4</xdr:row>
      <xdr:rowOff>96520</xdr:rowOff>
    </xdr:to>
    <xdr:sp>
      <xdr:nvSpPr>
        <xdr:cNvPr id="13" name="Oval 12"/>
        <xdr:cNvSpPr/>
      </xdr:nvSpPr>
      <xdr:spPr>
        <a:xfrm>
          <a:off x="14281150" y="431800"/>
          <a:ext cx="1993900" cy="426720"/>
        </a:xfrm>
        <a:prstGeom prst="ellipse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1"/>
            <a:t>₹33,358</a:t>
          </a:r>
          <a:endParaRPr lang="en-US" sz="1600" b="1"/>
        </a:p>
      </xdr:txBody>
    </xdr:sp>
    <xdr:clientData/>
  </xdr:twoCellAnchor>
  <xdr:twoCellAnchor>
    <xdr:from>
      <xdr:col>14</xdr:col>
      <xdr:colOff>120650</xdr:colOff>
      <xdr:row>5</xdr:row>
      <xdr:rowOff>187325</xdr:rowOff>
    </xdr:from>
    <xdr:to>
      <xdr:col>21</xdr:col>
      <xdr:colOff>155575</xdr:colOff>
      <xdr:row>20</xdr:row>
      <xdr:rowOff>15875</xdr:rowOff>
    </xdr:to>
    <xdr:graphicFrame>
      <xdr:nvGraphicFramePr>
        <xdr:cNvPr id="15" name="Chart 14"/>
        <xdr:cNvGraphicFramePr/>
      </xdr:nvGraphicFramePr>
      <xdr:xfrm>
        <a:off x="9750425" y="1139825"/>
        <a:ext cx="4816475" cy="2695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204470</xdr:colOff>
      <xdr:row>21</xdr:row>
      <xdr:rowOff>15240</xdr:rowOff>
    </xdr:from>
    <xdr:to>
      <xdr:col>21</xdr:col>
      <xdr:colOff>258445</xdr:colOff>
      <xdr:row>31</xdr:row>
      <xdr:rowOff>44450</xdr:rowOff>
    </xdr:to>
    <xdr:graphicFrame>
      <xdr:nvGraphicFramePr>
        <xdr:cNvPr id="16" name="Chart 15"/>
        <xdr:cNvGraphicFramePr/>
      </xdr:nvGraphicFramePr>
      <xdr:xfrm>
        <a:off x="10958195" y="4034790"/>
        <a:ext cx="3711575" cy="19342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492760</xdr:colOff>
      <xdr:row>32</xdr:row>
      <xdr:rowOff>10795</xdr:rowOff>
    </xdr:from>
    <xdr:to>
      <xdr:col>19</xdr:col>
      <xdr:colOff>502920</xdr:colOff>
      <xdr:row>47</xdr:row>
      <xdr:rowOff>25400</xdr:rowOff>
    </xdr:to>
    <xdr:pic>
      <xdr:nvPicPr>
        <xdr:cNvPr id="17" name="Picture 16" descr="Screenshot (35)"/>
        <xdr:cNvPicPr>
          <a:picLocks noChangeAspect="1"/>
        </xdr:cNvPicPr>
      </xdr:nvPicPr>
      <xdr:blipFill>
        <a:blip r:embed="rId4"/>
        <a:srcRect l="8658" t="17587" r="52274" b="15245"/>
        <a:stretch>
          <a:fillRect/>
        </a:stretch>
      </xdr:blipFill>
      <xdr:spPr>
        <a:xfrm>
          <a:off x="10122535" y="6125845"/>
          <a:ext cx="3572510" cy="3443605"/>
        </a:xfrm>
        <a:prstGeom prst="rect">
          <a:avLst/>
        </a:prstGeom>
      </xdr:spPr>
    </xdr:pic>
    <xdr:clientData/>
  </xdr:twoCellAnchor>
  <xdr:twoCellAnchor>
    <xdr:from>
      <xdr:col>21</xdr:col>
      <xdr:colOff>0</xdr:colOff>
      <xdr:row>32</xdr:row>
      <xdr:rowOff>0</xdr:rowOff>
    </xdr:from>
    <xdr:to>
      <xdr:col>23</xdr:col>
      <xdr:colOff>244475</xdr:colOff>
      <xdr:row>46</xdr:row>
      <xdr:rowOff>93980</xdr:rowOff>
    </xdr:to>
    <xdr:sp>
      <xdr:nvSpPr>
        <xdr:cNvPr id="18" name="Rounded Rectangle 17"/>
        <xdr:cNvSpPr/>
      </xdr:nvSpPr>
      <xdr:spPr>
        <a:xfrm>
          <a:off x="14411325" y="6115050"/>
          <a:ext cx="2022475" cy="3332480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21</xdr:col>
      <xdr:colOff>172720</xdr:colOff>
      <xdr:row>32</xdr:row>
      <xdr:rowOff>95250</xdr:rowOff>
    </xdr:from>
    <xdr:to>
      <xdr:col>23</xdr:col>
      <xdr:colOff>47625</xdr:colOff>
      <xdr:row>45</xdr:row>
      <xdr:rowOff>168275</xdr:rowOff>
    </xdr:to>
    <xdr:sp>
      <xdr:nvSpPr>
        <xdr:cNvPr id="19" name="Text Box 18"/>
        <xdr:cNvSpPr txBox="1"/>
      </xdr:nvSpPr>
      <xdr:spPr>
        <a:xfrm>
          <a:off x="14584045" y="6210300"/>
          <a:ext cx="1652905" cy="3121025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 b="1"/>
            <a:t>CONCLUSION:</a:t>
          </a:r>
          <a:endParaRPr lang="en-US" sz="1100" b="1"/>
        </a:p>
        <a:p>
          <a:pPr algn="l"/>
          <a:r>
            <a:rPr lang="en-US" sz="1100"/>
            <a:t>Number of patient has a significant linear relationship to the monthly revenue ie, as the number of patients (monthly) increases, the total amount of revenue generated also increases with a linear relationship:</a:t>
          </a:r>
          <a:endParaRPr lang="en-US" sz="1100"/>
        </a:p>
        <a:p>
          <a:pPr algn="l"/>
          <a:r>
            <a:rPr lang="en-US" sz="1100"/>
            <a:t>y=2766.05+331.92x; where x denoted the number of patients (monthly) and y denotes the monthly revenue </a:t>
          </a:r>
          <a:endParaRPr lang="en-US" sz="1100"/>
        </a:p>
      </xdr:txBody>
    </xdr:sp>
    <xdr:clientData/>
  </xdr:twoCellAnchor>
  <xdr:twoCellAnchor>
    <xdr:from>
      <xdr:col>21</xdr:col>
      <xdr:colOff>390525</xdr:colOff>
      <xdr:row>6</xdr:row>
      <xdr:rowOff>177165</xdr:rowOff>
    </xdr:from>
    <xdr:to>
      <xdr:col>23</xdr:col>
      <xdr:colOff>488950</xdr:colOff>
      <xdr:row>18</xdr:row>
      <xdr:rowOff>62865</xdr:rowOff>
    </xdr:to>
    <xdr:sp>
      <xdr:nvSpPr>
        <xdr:cNvPr id="20" name="Rounded Rectangle 19"/>
        <xdr:cNvSpPr/>
      </xdr:nvSpPr>
      <xdr:spPr>
        <a:xfrm>
          <a:off x="14801850" y="1320165"/>
          <a:ext cx="1876425" cy="2171700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21</xdr:col>
      <xdr:colOff>589280</xdr:colOff>
      <xdr:row>7</xdr:row>
      <xdr:rowOff>109855</xdr:rowOff>
    </xdr:from>
    <xdr:to>
      <xdr:col>23</xdr:col>
      <xdr:colOff>316230</xdr:colOff>
      <xdr:row>18</xdr:row>
      <xdr:rowOff>29845</xdr:rowOff>
    </xdr:to>
    <xdr:sp>
      <xdr:nvSpPr>
        <xdr:cNvPr id="21" name="Text Box 20"/>
        <xdr:cNvSpPr txBox="1"/>
      </xdr:nvSpPr>
      <xdr:spPr>
        <a:xfrm>
          <a:off x="15000605" y="1443355"/>
          <a:ext cx="1504950" cy="201549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 b="1"/>
            <a:t>MONTHLY REVENUE:</a:t>
          </a:r>
          <a:endParaRPr lang="en-US" sz="1100"/>
        </a:p>
        <a:p>
          <a:pPr algn="l"/>
          <a:r>
            <a:rPr lang="en-US" sz="1100"/>
            <a:t>The revenue earned rises and falls unpredictably through out the year and as displayed in the left, with a subtle general increase in the net revenue earned at the end</a:t>
          </a:r>
          <a:endParaRPr lang="en-US" sz="1100"/>
        </a:p>
      </xdr:txBody>
    </xdr:sp>
    <xdr:clientData/>
  </xdr:twoCellAnchor>
  <xdr:twoCellAnchor>
    <xdr:from>
      <xdr:col>23</xdr:col>
      <xdr:colOff>492760</xdr:colOff>
      <xdr:row>0</xdr:row>
      <xdr:rowOff>163195</xdr:rowOff>
    </xdr:from>
    <xdr:to>
      <xdr:col>26</xdr:col>
      <xdr:colOff>246380</xdr:colOff>
      <xdr:row>5</xdr:row>
      <xdr:rowOff>10160</xdr:rowOff>
    </xdr:to>
    <xdr:sp>
      <xdr:nvSpPr>
        <xdr:cNvPr id="22" name="Rounded Rectangle 21"/>
        <xdr:cNvSpPr/>
      </xdr:nvSpPr>
      <xdr:spPr>
        <a:xfrm>
          <a:off x="16682085" y="163195"/>
          <a:ext cx="2190115" cy="799465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23</xdr:col>
      <xdr:colOff>641985</xdr:colOff>
      <xdr:row>2</xdr:row>
      <xdr:rowOff>95250</xdr:rowOff>
    </xdr:from>
    <xdr:to>
      <xdr:col>26</xdr:col>
      <xdr:colOff>154940</xdr:colOff>
      <xdr:row>4</xdr:row>
      <xdr:rowOff>140970</xdr:rowOff>
    </xdr:to>
    <xdr:sp>
      <xdr:nvSpPr>
        <xdr:cNvPr id="23" name="Oval 22"/>
        <xdr:cNvSpPr/>
      </xdr:nvSpPr>
      <xdr:spPr>
        <a:xfrm>
          <a:off x="16831310" y="476250"/>
          <a:ext cx="1949450" cy="426720"/>
        </a:xfrm>
        <a:prstGeom prst="ellipse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1"/>
            <a:t>−53.48%</a:t>
          </a:r>
          <a:endParaRPr lang="en-US" sz="1600" b="1"/>
        </a:p>
      </xdr:txBody>
    </xdr:sp>
    <xdr:clientData/>
  </xdr:twoCellAnchor>
  <xdr:twoCellAnchor>
    <xdr:from>
      <xdr:col>23</xdr:col>
      <xdr:colOff>845820</xdr:colOff>
      <xdr:row>1</xdr:row>
      <xdr:rowOff>13970</xdr:rowOff>
    </xdr:from>
    <xdr:to>
      <xdr:col>26</xdr:col>
      <xdr:colOff>66675</xdr:colOff>
      <xdr:row>2</xdr:row>
      <xdr:rowOff>52070</xdr:rowOff>
    </xdr:to>
    <xdr:sp>
      <xdr:nvSpPr>
        <xdr:cNvPr id="24" name="Text Box 23"/>
        <xdr:cNvSpPr txBox="1"/>
      </xdr:nvSpPr>
      <xdr:spPr>
        <a:xfrm>
          <a:off x="17035145" y="204470"/>
          <a:ext cx="1657350" cy="22860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/>
            <a:t>PROFIT MARGIN</a:t>
          </a:r>
          <a:endParaRPr lang="en-US" sz="1100"/>
        </a:p>
      </xdr:txBody>
    </xdr:sp>
    <xdr:clientData/>
  </xdr:twoCellAnchor>
  <xdr:twoCellAnchor editAs="oneCell">
    <xdr:from>
      <xdr:col>0</xdr:col>
      <xdr:colOff>9525</xdr:colOff>
      <xdr:row>14</xdr:row>
      <xdr:rowOff>186055</xdr:rowOff>
    </xdr:from>
    <xdr:to>
      <xdr:col>4</xdr:col>
      <xdr:colOff>218440</xdr:colOff>
      <xdr:row>28</xdr:row>
      <xdr:rowOff>75565</xdr:rowOff>
    </xdr:to>
    <xdr:pic>
      <xdr:nvPicPr>
        <xdr:cNvPr id="25" name="Picture 24" descr="Screenshot (37)"/>
        <xdr:cNvPicPr>
          <a:picLocks noChangeAspect="1"/>
        </xdr:cNvPicPr>
      </xdr:nvPicPr>
      <xdr:blipFill>
        <a:blip r:embed="rId5"/>
        <a:srcRect l="5006" t="19966" r="55621" b="12173"/>
        <a:stretch>
          <a:fillRect/>
        </a:stretch>
      </xdr:blipFill>
      <xdr:spPr>
        <a:xfrm>
          <a:off x="9525" y="2853055"/>
          <a:ext cx="2647315" cy="2575560"/>
        </a:xfrm>
        <a:prstGeom prst="rect">
          <a:avLst/>
        </a:prstGeom>
      </xdr:spPr>
    </xdr:pic>
    <xdr:clientData/>
  </xdr:twoCellAnchor>
  <xdr:twoCellAnchor editAs="oneCell">
    <xdr:from>
      <xdr:col>4</xdr:col>
      <xdr:colOff>574675</xdr:colOff>
      <xdr:row>14</xdr:row>
      <xdr:rowOff>132080</xdr:rowOff>
    </xdr:from>
    <xdr:to>
      <xdr:col>9</xdr:col>
      <xdr:colOff>97790</xdr:colOff>
      <xdr:row>28</xdr:row>
      <xdr:rowOff>58420</xdr:rowOff>
    </xdr:to>
    <xdr:pic>
      <xdr:nvPicPr>
        <xdr:cNvPr id="26" name="Picture 25" descr="Screenshot (38)"/>
        <xdr:cNvPicPr>
          <a:picLocks noChangeAspect="1"/>
        </xdr:cNvPicPr>
      </xdr:nvPicPr>
      <xdr:blipFill>
        <a:blip r:embed="rId6"/>
        <a:srcRect l="5353" t="19942" r="55422" b="11961"/>
        <a:stretch>
          <a:fillRect/>
        </a:stretch>
      </xdr:blipFill>
      <xdr:spPr>
        <a:xfrm>
          <a:off x="3013075" y="2799080"/>
          <a:ext cx="2571115" cy="2612390"/>
        </a:xfrm>
        <a:prstGeom prst="rect">
          <a:avLst/>
        </a:prstGeom>
      </xdr:spPr>
    </xdr:pic>
    <xdr:clientData/>
  </xdr:twoCellAnchor>
  <xdr:twoCellAnchor>
    <xdr:from>
      <xdr:col>0</xdr:col>
      <xdr:colOff>109220</xdr:colOff>
      <xdr:row>29</xdr:row>
      <xdr:rowOff>53975</xdr:rowOff>
    </xdr:from>
    <xdr:to>
      <xdr:col>10</xdr:col>
      <xdr:colOff>413385</xdr:colOff>
      <xdr:row>32</xdr:row>
      <xdr:rowOff>751205</xdr:rowOff>
    </xdr:to>
    <xdr:sp>
      <xdr:nvSpPr>
        <xdr:cNvPr id="27" name="Rectangle 26"/>
        <xdr:cNvSpPr/>
      </xdr:nvSpPr>
      <xdr:spPr>
        <a:xfrm>
          <a:off x="109220" y="5597525"/>
          <a:ext cx="6714490" cy="126873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0</xdr:col>
      <xdr:colOff>245110</xdr:colOff>
      <xdr:row>29</xdr:row>
      <xdr:rowOff>162560</xdr:rowOff>
    </xdr:from>
    <xdr:to>
      <xdr:col>10</xdr:col>
      <xdr:colOff>124460</xdr:colOff>
      <xdr:row>32</xdr:row>
      <xdr:rowOff>654685</xdr:rowOff>
    </xdr:to>
    <xdr:sp>
      <xdr:nvSpPr>
        <xdr:cNvPr id="28" name="Text Box 27"/>
        <xdr:cNvSpPr txBox="1"/>
      </xdr:nvSpPr>
      <xdr:spPr>
        <a:xfrm>
          <a:off x="245110" y="5706110"/>
          <a:ext cx="6289675" cy="1063625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200" b="1"/>
            <a:t>Monthly revenue shows an overall increasing trend throughout most of the year. A quadratic curve provides a better visual fit than a straight line, suggesting that revenue growth was not constant over time. Revenue increased during the middle months of the year, peaked toward the later months, and then showed a slight decline near year-end.</a:t>
          </a:r>
          <a:endParaRPr lang="en-US" sz="1200" b="1"/>
        </a:p>
      </xdr:txBody>
    </xdr:sp>
    <xdr:clientData/>
  </xdr:twoCellAnchor>
  <xdr:twoCellAnchor>
    <xdr:from>
      <xdr:col>3</xdr:col>
      <xdr:colOff>388620</xdr:colOff>
      <xdr:row>33</xdr:row>
      <xdr:rowOff>181610</xdr:rowOff>
    </xdr:from>
    <xdr:to>
      <xdr:col>8</xdr:col>
      <xdr:colOff>580390</xdr:colOff>
      <xdr:row>46</xdr:row>
      <xdr:rowOff>109220</xdr:rowOff>
    </xdr:to>
    <xdr:graphicFrame>
      <xdr:nvGraphicFramePr>
        <xdr:cNvPr id="29" name="Chart 28"/>
        <xdr:cNvGraphicFramePr/>
      </xdr:nvGraphicFramePr>
      <xdr:xfrm>
        <a:off x="2217420" y="7058660"/>
        <a:ext cx="3239770" cy="24041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214630</xdr:colOff>
      <xdr:row>33</xdr:row>
      <xdr:rowOff>135890</xdr:rowOff>
    </xdr:from>
    <xdr:to>
      <xdr:col>11</xdr:col>
      <xdr:colOff>328295</xdr:colOff>
      <xdr:row>46</xdr:row>
      <xdr:rowOff>1905</xdr:rowOff>
    </xdr:to>
    <xdr:sp>
      <xdr:nvSpPr>
        <xdr:cNvPr id="30" name="Rounded Rectangle 29"/>
        <xdr:cNvSpPr/>
      </xdr:nvSpPr>
      <xdr:spPr>
        <a:xfrm>
          <a:off x="5701030" y="7012940"/>
          <a:ext cx="1761490" cy="2342515"/>
        </a:xfrm>
        <a:prstGeom prst="roundRect">
          <a:avLst/>
        </a:prstGeom>
        <a:solidFill>
          <a:schemeClr val="accent2"/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9</xdr:col>
      <xdr:colOff>378460</xdr:colOff>
      <xdr:row>34</xdr:row>
      <xdr:rowOff>26670</xdr:rowOff>
    </xdr:from>
    <xdr:to>
      <xdr:col>11</xdr:col>
      <xdr:colOff>225425</xdr:colOff>
      <xdr:row>37</xdr:row>
      <xdr:rowOff>6985</xdr:rowOff>
    </xdr:to>
    <xdr:sp>
      <xdr:nvSpPr>
        <xdr:cNvPr id="31" name="Text Box 30"/>
        <xdr:cNvSpPr txBox="1"/>
      </xdr:nvSpPr>
      <xdr:spPr>
        <a:xfrm>
          <a:off x="5864860" y="7094220"/>
          <a:ext cx="1494790" cy="55181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2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 b="1"/>
            <a:t>PATIENT BREAKDOWN</a:t>
          </a:r>
          <a:endParaRPr lang="en-US" sz="1100" b="1"/>
        </a:p>
      </xdr:txBody>
    </xdr:sp>
    <xdr:clientData/>
  </xdr:twoCellAnchor>
  <xdr:twoCellAnchor>
    <xdr:from>
      <xdr:col>9</xdr:col>
      <xdr:colOff>323850</xdr:colOff>
      <xdr:row>36</xdr:row>
      <xdr:rowOff>189865</xdr:rowOff>
    </xdr:from>
    <xdr:to>
      <xdr:col>11</xdr:col>
      <xdr:colOff>228600</xdr:colOff>
      <xdr:row>40</xdr:row>
      <xdr:rowOff>75565</xdr:rowOff>
    </xdr:to>
    <xdr:sp>
      <xdr:nvSpPr>
        <xdr:cNvPr id="32" name="Oval 31"/>
        <xdr:cNvSpPr/>
      </xdr:nvSpPr>
      <xdr:spPr>
        <a:xfrm>
          <a:off x="5810250" y="7638415"/>
          <a:ext cx="1552575" cy="647700"/>
        </a:xfrm>
        <a:prstGeom prst="ellipse">
          <a:avLst/>
        </a:prstGeom>
        <a:solidFill>
          <a:schemeClr val="accent2">
            <a:lumMod val="75000"/>
          </a:schemeClr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/>
            <a:t>HIGHEST: </a:t>
          </a:r>
          <a:endParaRPr lang="en-US" sz="1100"/>
        </a:p>
        <a:p>
          <a:pPr algn="l"/>
          <a:r>
            <a:rPr lang="en-US" sz="1100"/>
            <a:t>JULY &amp; AUGUST</a:t>
          </a:r>
          <a:endParaRPr lang="en-US" sz="1100"/>
        </a:p>
      </xdr:txBody>
    </xdr:sp>
    <xdr:clientData/>
  </xdr:twoCellAnchor>
  <xdr:twoCellAnchor>
    <xdr:from>
      <xdr:col>9</xdr:col>
      <xdr:colOff>328295</xdr:colOff>
      <xdr:row>41</xdr:row>
      <xdr:rowOff>17145</xdr:rowOff>
    </xdr:from>
    <xdr:to>
      <xdr:col>11</xdr:col>
      <xdr:colOff>233045</xdr:colOff>
      <xdr:row>44</xdr:row>
      <xdr:rowOff>93345</xdr:rowOff>
    </xdr:to>
    <xdr:sp>
      <xdr:nvSpPr>
        <xdr:cNvPr id="33" name="Oval 32"/>
        <xdr:cNvSpPr/>
      </xdr:nvSpPr>
      <xdr:spPr>
        <a:xfrm>
          <a:off x="5814695" y="8418195"/>
          <a:ext cx="1552575" cy="647700"/>
        </a:xfrm>
        <a:prstGeom prst="ellipse">
          <a:avLst/>
        </a:prstGeom>
        <a:solidFill>
          <a:schemeClr val="accent2">
            <a:lumMod val="75000"/>
          </a:schemeClr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/>
            <a:t>LOWEST: </a:t>
          </a:r>
          <a:endParaRPr lang="en-US" sz="1100"/>
        </a:p>
        <a:p>
          <a:pPr algn="l"/>
          <a:r>
            <a:rPr lang="en-US" sz="1100"/>
            <a:t>APRIL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219075</xdr:colOff>
      <xdr:row>0</xdr:row>
      <xdr:rowOff>142875</xdr:rowOff>
    </xdr:from>
    <xdr:to>
      <xdr:col>13</xdr:col>
      <xdr:colOff>495300</xdr:colOff>
      <xdr:row>4</xdr:row>
      <xdr:rowOff>161925</xdr:rowOff>
    </xdr:to>
    <xdr:sp>
      <xdr:nvSpPr>
        <xdr:cNvPr id="2" name="Rounded Rectangle 1"/>
        <xdr:cNvSpPr/>
      </xdr:nvSpPr>
      <xdr:spPr>
        <a:xfrm>
          <a:off x="7381875" y="142875"/>
          <a:ext cx="1695450" cy="781050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13</xdr:col>
      <xdr:colOff>629920</xdr:colOff>
      <xdr:row>0</xdr:row>
      <xdr:rowOff>153035</xdr:rowOff>
    </xdr:from>
    <xdr:to>
      <xdr:col>16</xdr:col>
      <xdr:colOff>248920</xdr:colOff>
      <xdr:row>4</xdr:row>
      <xdr:rowOff>172085</xdr:rowOff>
    </xdr:to>
    <xdr:sp>
      <xdr:nvSpPr>
        <xdr:cNvPr id="3" name="Rounded Rectangle 2"/>
        <xdr:cNvSpPr/>
      </xdr:nvSpPr>
      <xdr:spPr>
        <a:xfrm>
          <a:off x="9211945" y="153035"/>
          <a:ext cx="2771775" cy="781050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16</xdr:col>
      <xdr:colOff>360045</xdr:colOff>
      <xdr:row>1</xdr:row>
      <xdr:rowOff>10160</xdr:rowOff>
    </xdr:from>
    <xdr:to>
      <xdr:col>19</xdr:col>
      <xdr:colOff>78105</xdr:colOff>
      <xdr:row>5</xdr:row>
      <xdr:rowOff>29210</xdr:rowOff>
    </xdr:to>
    <xdr:sp>
      <xdr:nvSpPr>
        <xdr:cNvPr id="4" name="Rounded Rectangle 3"/>
        <xdr:cNvSpPr/>
      </xdr:nvSpPr>
      <xdr:spPr>
        <a:xfrm>
          <a:off x="12094845" y="200660"/>
          <a:ext cx="1804035" cy="781050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>
              <a:solidFill>
                <a:sysClr val="windowText" lastClr="000000"/>
              </a:solidFill>
            </a:rPr>
            <a:t>TOTAL PATIENTS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304800</xdr:colOff>
      <xdr:row>0</xdr:row>
      <xdr:rowOff>171450</xdr:rowOff>
    </xdr:from>
    <xdr:to>
      <xdr:col>22</xdr:col>
      <xdr:colOff>285750</xdr:colOff>
      <xdr:row>5</xdr:row>
      <xdr:rowOff>0</xdr:rowOff>
    </xdr:to>
    <xdr:sp>
      <xdr:nvSpPr>
        <xdr:cNvPr id="5" name="Rounded Rectangle 4"/>
        <xdr:cNvSpPr/>
      </xdr:nvSpPr>
      <xdr:spPr>
        <a:xfrm>
          <a:off x="14125575" y="171450"/>
          <a:ext cx="1809750" cy="781050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900">
              <a:solidFill>
                <a:sysClr val="windowText" lastClr="000000"/>
              </a:solidFill>
            </a:rPr>
            <a:t>AVERAGE MONTHLY REVENUE</a:t>
          </a:r>
          <a:endParaRPr lang="en-US" sz="9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11</xdr:col>
      <xdr:colOff>430530</xdr:colOff>
      <xdr:row>0</xdr:row>
      <xdr:rowOff>186055</xdr:rowOff>
    </xdr:from>
    <xdr:ext cx="1120775" cy="274320"/>
    <xdr:sp>
      <xdr:nvSpPr>
        <xdr:cNvPr id="6" name="Text Box 5"/>
        <xdr:cNvSpPr txBox="1"/>
      </xdr:nvSpPr>
      <xdr:spPr>
        <a:xfrm>
          <a:off x="7593330" y="186055"/>
          <a:ext cx="1120775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/>
            <a:t>TOTAL REVENUE</a:t>
          </a:r>
          <a:endParaRPr lang="en-US" sz="2000" b="1"/>
        </a:p>
      </xdr:txBody>
    </xdr:sp>
    <xdr:clientData/>
  </xdr:oneCellAnchor>
  <xdr:twoCellAnchor>
    <xdr:from>
      <xdr:col>11</xdr:col>
      <xdr:colOff>316230</xdr:colOff>
      <xdr:row>2</xdr:row>
      <xdr:rowOff>88265</xdr:rowOff>
    </xdr:from>
    <xdr:to>
      <xdr:col>13</xdr:col>
      <xdr:colOff>415925</xdr:colOff>
      <xdr:row>4</xdr:row>
      <xdr:rowOff>114935</xdr:rowOff>
    </xdr:to>
    <xdr:sp>
      <xdr:nvSpPr>
        <xdr:cNvPr id="7" name="Oval 6"/>
        <xdr:cNvSpPr/>
      </xdr:nvSpPr>
      <xdr:spPr>
        <a:xfrm>
          <a:off x="7479030" y="469265"/>
          <a:ext cx="1518920" cy="407670"/>
        </a:xfrm>
        <a:prstGeom prst="ellipse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1"/>
            <a:t>₹5,41,100</a:t>
          </a:r>
          <a:endParaRPr lang="en-US" sz="1600" b="1"/>
        </a:p>
      </xdr:txBody>
    </xdr:sp>
    <xdr:clientData/>
  </xdr:twoCellAnchor>
  <xdr:twoCellAnchor>
    <xdr:from>
      <xdr:col>13</xdr:col>
      <xdr:colOff>753745</xdr:colOff>
      <xdr:row>2</xdr:row>
      <xdr:rowOff>112395</xdr:rowOff>
    </xdr:from>
    <xdr:to>
      <xdr:col>16</xdr:col>
      <xdr:colOff>104775</xdr:colOff>
      <xdr:row>4</xdr:row>
      <xdr:rowOff>140970</xdr:rowOff>
    </xdr:to>
    <xdr:sp>
      <xdr:nvSpPr>
        <xdr:cNvPr id="8" name="Oval 7"/>
        <xdr:cNvSpPr/>
      </xdr:nvSpPr>
      <xdr:spPr>
        <a:xfrm>
          <a:off x="9335770" y="493395"/>
          <a:ext cx="2503805" cy="409575"/>
        </a:xfrm>
        <a:prstGeom prst="ellipse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1"/>
            <a:t>-₹73,300</a:t>
          </a:r>
          <a:endParaRPr lang="en-US" sz="1600" b="1"/>
        </a:p>
      </xdr:txBody>
    </xdr:sp>
    <xdr:clientData/>
  </xdr:twoCellAnchor>
  <xdr:twoCellAnchor>
    <xdr:from>
      <xdr:col>17</xdr:col>
      <xdr:colOff>212090</xdr:colOff>
      <xdr:row>2</xdr:row>
      <xdr:rowOff>83820</xdr:rowOff>
    </xdr:from>
    <xdr:to>
      <xdr:col>18</xdr:col>
      <xdr:colOff>782955</xdr:colOff>
      <xdr:row>4</xdr:row>
      <xdr:rowOff>112395</xdr:rowOff>
    </xdr:to>
    <xdr:sp>
      <xdr:nvSpPr>
        <xdr:cNvPr id="9" name="Oval 8"/>
        <xdr:cNvSpPr/>
      </xdr:nvSpPr>
      <xdr:spPr>
        <a:xfrm>
          <a:off x="12451715" y="464820"/>
          <a:ext cx="1075690" cy="409575"/>
        </a:xfrm>
        <a:prstGeom prst="ellipse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1"/>
            <a:t>1,168</a:t>
          </a:r>
          <a:endParaRPr lang="en-US" sz="1600" b="1"/>
        </a:p>
      </xdr:txBody>
    </xdr:sp>
    <xdr:clientData/>
  </xdr:twoCellAnchor>
  <xdr:twoCellAnchor>
    <xdr:from>
      <xdr:col>19</xdr:col>
      <xdr:colOff>554990</xdr:colOff>
      <xdr:row>2</xdr:row>
      <xdr:rowOff>86995</xdr:rowOff>
    </xdr:from>
    <xdr:to>
      <xdr:col>22</xdr:col>
      <xdr:colOff>11430</xdr:colOff>
      <xdr:row>4</xdr:row>
      <xdr:rowOff>115570</xdr:rowOff>
    </xdr:to>
    <xdr:sp>
      <xdr:nvSpPr>
        <xdr:cNvPr id="10" name="Oval 9"/>
        <xdr:cNvSpPr/>
      </xdr:nvSpPr>
      <xdr:spPr>
        <a:xfrm>
          <a:off x="14375765" y="467995"/>
          <a:ext cx="1285240" cy="409575"/>
        </a:xfrm>
        <a:prstGeom prst="ellipse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1"/>
            <a:t>₹45,092 </a:t>
          </a:r>
          <a:endParaRPr lang="en-US" sz="1600" b="1"/>
        </a:p>
        <a:p>
          <a:pPr algn="ctr"/>
          <a:endParaRPr lang="en-US" sz="1600" b="1"/>
        </a:p>
      </xdr:txBody>
    </xdr:sp>
    <xdr:clientData/>
  </xdr:twoCellAnchor>
  <xdr:twoCellAnchor>
    <xdr:from>
      <xdr:col>14</xdr:col>
      <xdr:colOff>110490</xdr:colOff>
      <xdr:row>1</xdr:row>
      <xdr:rowOff>23495</xdr:rowOff>
    </xdr:from>
    <xdr:to>
      <xdr:col>16</xdr:col>
      <xdr:colOff>186690</xdr:colOff>
      <xdr:row>2</xdr:row>
      <xdr:rowOff>61595</xdr:rowOff>
    </xdr:to>
    <xdr:sp>
      <xdr:nvSpPr>
        <xdr:cNvPr id="11" name="Text Box 10"/>
        <xdr:cNvSpPr txBox="1"/>
      </xdr:nvSpPr>
      <xdr:spPr>
        <a:xfrm>
          <a:off x="9987915" y="213995"/>
          <a:ext cx="1933575" cy="22860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/>
            <a:t>TOTAL PROFIT</a:t>
          </a:r>
          <a:endParaRPr lang="en-US" sz="1100"/>
        </a:p>
      </xdr:txBody>
    </xdr:sp>
    <xdr:clientData/>
  </xdr:twoCellAnchor>
  <xdr:twoCellAnchor>
    <xdr:from>
      <xdr:col>0</xdr:col>
      <xdr:colOff>9525</xdr:colOff>
      <xdr:row>15</xdr:row>
      <xdr:rowOff>38100</xdr:rowOff>
    </xdr:from>
    <xdr:to>
      <xdr:col>6</xdr:col>
      <xdr:colOff>57785</xdr:colOff>
      <xdr:row>32</xdr:row>
      <xdr:rowOff>142240</xdr:rowOff>
    </xdr:to>
    <xdr:pic>
      <xdr:nvPicPr>
        <xdr:cNvPr id="12" name="Picture 11" descr="Screenshot (27)"/>
        <xdr:cNvPicPr>
          <a:picLocks noChangeAspect="1"/>
        </xdr:cNvPicPr>
      </xdr:nvPicPr>
      <xdr:blipFill>
        <a:blip r:embed="rId4"/>
        <a:srcRect l="4363" t="13956" r="55290" b="15802"/>
        <a:stretch>
          <a:fillRect/>
        </a:stretch>
      </xdr:blipFill>
      <xdr:spPr>
        <a:xfrm>
          <a:off x="9525" y="2895600"/>
          <a:ext cx="3705860" cy="3352165"/>
        </a:xfrm>
        <a:prstGeom prst="rect">
          <a:avLst/>
        </a:prstGeom>
      </xdr:spPr>
    </xdr:pic>
    <xdr:clientData/>
  </xdr:twoCellAnchor>
  <xdr:twoCellAnchor editAs="oneCell">
    <xdr:from>
      <xdr:col>6</xdr:col>
      <xdr:colOff>173355</xdr:colOff>
      <xdr:row>15</xdr:row>
      <xdr:rowOff>54610</xdr:rowOff>
    </xdr:from>
    <xdr:to>
      <xdr:col>11</xdr:col>
      <xdr:colOff>43815</xdr:colOff>
      <xdr:row>32</xdr:row>
      <xdr:rowOff>121285</xdr:rowOff>
    </xdr:to>
    <xdr:pic>
      <xdr:nvPicPr>
        <xdr:cNvPr id="13" name="Picture 12" descr="Screenshot (28)"/>
        <xdr:cNvPicPr>
          <a:picLocks noChangeAspect="1"/>
        </xdr:cNvPicPr>
      </xdr:nvPicPr>
      <xdr:blipFill>
        <a:blip r:embed="rId5"/>
        <a:srcRect l="5051" t="13156" r="54998" b="17430"/>
        <a:stretch>
          <a:fillRect/>
        </a:stretch>
      </xdr:blipFill>
      <xdr:spPr>
        <a:xfrm>
          <a:off x="3830955" y="2912110"/>
          <a:ext cx="3375660" cy="3314700"/>
        </a:xfrm>
        <a:prstGeom prst="rect">
          <a:avLst/>
        </a:prstGeom>
      </xdr:spPr>
    </xdr:pic>
    <xdr:clientData/>
  </xdr:twoCellAnchor>
  <xdr:twoCellAnchor>
    <xdr:from>
      <xdr:col>0</xdr:col>
      <xdr:colOff>324485</xdr:colOff>
      <xdr:row>32</xdr:row>
      <xdr:rowOff>347980</xdr:rowOff>
    </xdr:from>
    <xdr:to>
      <xdr:col>10</xdr:col>
      <xdr:colOff>377190</xdr:colOff>
      <xdr:row>36</xdr:row>
      <xdr:rowOff>52070</xdr:rowOff>
    </xdr:to>
    <xdr:sp>
      <xdr:nvSpPr>
        <xdr:cNvPr id="14" name="Rectangle 13"/>
        <xdr:cNvSpPr/>
      </xdr:nvSpPr>
      <xdr:spPr>
        <a:xfrm>
          <a:off x="324485" y="6453505"/>
          <a:ext cx="6605905" cy="103759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0</xdr:col>
      <xdr:colOff>458470</xdr:colOff>
      <xdr:row>32</xdr:row>
      <xdr:rowOff>504190</xdr:rowOff>
    </xdr:from>
    <xdr:to>
      <xdr:col>10</xdr:col>
      <xdr:colOff>194945</xdr:colOff>
      <xdr:row>36</xdr:row>
      <xdr:rowOff>17145</xdr:rowOff>
    </xdr:to>
    <xdr:sp>
      <xdr:nvSpPr>
        <xdr:cNvPr id="15" name="Text Box 14"/>
        <xdr:cNvSpPr txBox="1"/>
      </xdr:nvSpPr>
      <xdr:spPr>
        <a:xfrm>
          <a:off x="458470" y="6609715"/>
          <a:ext cx="6289675" cy="846455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200" b="1"/>
            <a:t>While the data suggest a possible curved pattern in revenue over the year, there is insufficient evidence to conclude a significant relationship between revenue and month.</a:t>
          </a:r>
          <a:endParaRPr lang="en-US" sz="1200" b="1"/>
        </a:p>
      </xdr:txBody>
    </xdr:sp>
    <xdr:clientData/>
  </xdr:twoCellAnchor>
  <xdr:twoCellAnchor>
    <xdr:from>
      <xdr:col>14</xdr:col>
      <xdr:colOff>320675</xdr:colOff>
      <xdr:row>5</xdr:row>
      <xdr:rowOff>163830</xdr:rowOff>
    </xdr:from>
    <xdr:to>
      <xdr:col>22</xdr:col>
      <xdr:colOff>269875</xdr:colOff>
      <xdr:row>20</xdr:row>
      <xdr:rowOff>49530</xdr:rowOff>
    </xdr:to>
    <xdr:graphicFrame>
      <xdr:nvGraphicFramePr>
        <xdr:cNvPr id="16" name="Chart 15"/>
        <xdr:cNvGraphicFramePr/>
      </xdr:nvGraphicFramePr>
      <xdr:xfrm>
        <a:off x="10198100" y="1116330"/>
        <a:ext cx="57213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50800</xdr:colOff>
      <xdr:row>21</xdr:row>
      <xdr:rowOff>41275</xdr:rowOff>
    </xdr:from>
    <xdr:to>
      <xdr:col>22</xdr:col>
      <xdr:colOff>409575</xdr:colOff>
      <xdr:row>30</xdr:row>
      <xdr:rowOff>165735</xdr:rowOff>
    </xdr:to>
    <xdr:graphicFrame>
      <xdr:nvGraphicFramePr>
        <xdr:cNvPr id="17" name="Chart 16"/>
        <xdr:cNvGraphicFramePr/>
      </xdr:nvGraphicFramePr>
      <xdr:xfrm>
        <a:off x="11785600" y="4041775"/>
        <a:ext cx="4273550" cy="18484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485775</xdr:colOff>
      <xdr:row>9</xdr:row>
      <xdr:rowOff>114300</xdr:rowOff>
    </xdr:from>
    <xdr:to>
      <xdr:col>24</xdr:col>
      <xdr:colOff>542925</xdr:colOff>
      <xdr:row>19</xdr:row>
      <xdr:rowOff>95250</xdr:rowOff>
    </xdr:to>
    <xdr:sp>
      <xdr:nvSpPr>
        <xdr:cNvPr id="18" name="Rounded Rectangle 17"/>
        <xdr:cNvSpPr/>
      </xdr:nvSpPr>
      <xdr:spPr>
        <a:xfrm>
          <a:off x="16135350" y="1828800"/>
          <a:ext cx="1876425" cy="1885950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23</xdr:col>
      <xdr:colOff>104775</xdr:colOff>
      <xdr:row>10</xdr:row>
      <xdr:rowOff>19685</xdr:rowOff>
    </xdr:from>
    <xdr:to>
      <xdr:col>24</xdr:col>
      <xdr:colOff>400050</xdr:colOff>
      <xdr:row>18</xdr:row>
      <xdr:rowOff>76200</xdr:rowOff>
    </xdr:to>
    <xdr:sp>
      <xdr:nvSpPr>
        <xdr:cNvPr id="19" name="Text Box 18"/>
        <xdr:cNvSpPr txBox="1"/>
      </xdr:nvSpPr>
      <xdr:spPr>
        <a:xfrm>
          <a:off x="16363950" y="1924685"/>
          <a:ext cx="1504950" cy="1580515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US" sz="1100" b="1"/>
            <a:t>MONTHLY REVENUE:</a:t>
          </a:r>
          <a:endParaRPr lang="en-US" sz="1100"/>
        </a:p>
        <a:p>
          <a:pPr algn="l"/>
          <a:r>
            <a:rPr lang="en-US" sz="1100"/>
            <a:t>The revenue earned rises and falls unpredictably through out the year and as displayed in the left, does not fit a linear nor quadratic model</a:t>
          </a:r>
          <a:endParaRPr lang="en-US" sz="1100"/>
        </a:p>
      </xdr:txBody>
    </xdr:sp>
    <xdr:clientData/>
  </xdr:twoCellAnchor>
  <xdr:twoCellAnchor>
    <xdr:from>
      <xdr:col>23</xdr:col>
      <xdr:colOff>195580</xdr:colOff>
      <xdr:row>2</xdr:row>
      <xdr:rowOff>84455</xdr:rowOff>
    </xdr:from>
    <xdr:to>
      <xdr:col>24</xdr:col>
      <xdr:colOff>271145</xdr:colOff>
      <xdr:row>4</xdr:row>
      <xdr:rowOff>113030</xdr:rowOff>
    </xdr:to>
    <xdr:sp>
      <xdr:nvSpPr>
        <xdr:cNvPr id="20" name="Oval 19"/>
        <xdr:cNvSpPr/>
      </xdr:nvSpPr>
      <xdr:spPr>
        <a:xfrm>
          <a:off x="16454755" y="465455"/>
          <a:ext cx="1285240" cy="409575"/>
        </a:xfrm>
        <a:prstGeom prst="ellipse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1"/>
            <a:t>₹45,092 </a:t>
          </a:r>
          <a:endParaRPr lang="en-US" sz="1600" b="1"/>
        </a:p>
        <a:p>
          <a:pPr algn="ctr"/>
          <a:endParaRPr lang="en-US" sz="1600" b="1"/>
        </a:p>
      </xdr:txBody>
    </xdr:sp>
    <xdr:clientData/>
  </xdr:twoCellAnchor>
  <xdr:twoCellAnchor>
    <xdr:from>
      <xdr:col>22</xdr:col>
      <xdr:colOff>588010</xdr:colOff>
      <xdr:row>0</xdr:row>
      <xdr:rowOff>179705</xdr:rowOff>
    </xdr:from>
    <xdr:to>
      <xdr:col>24</xdr:col>
      <xdr:colOff>578485</xdr:colOff>
      <xdr:row>5</xdr:row>
      <xdr:rowOff>8255</xdr:rowOff>
    </xdr:to>
    <xdr:sp>
      <xdr:nvSpPr>
        <xdr:cNvPr id="22" name="Rounded Rectangle 21"/>
        <xdr:cNvSpPr/>
      </xdr:nvSpPr>
      <xdr:spPr>
        <a:xfrm>
          <a:off x="16237585" y="179705"/>
          <a:ext cx="1809750" cy="781050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ysClr val="windowText" lastClr="000000"/>
              </a:solidFill>
            </a:rPr>
            <a:t>PROFIT MARGIN</a:t>
          </a:r>
          <a:endParaRPr lang="en-US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23</xdr:col>
      <xdr:colOff>227330</xdr:colOff>
      <xdr:row>2</xdr:row>
      <xdr:rowOff>84455</xdr:rowOff>
    </xdr:from>
    <xdr:to>
      <xdr:col>24</xdr:col>
      <xdr:colOff>302895</xdr:colOff>
      <xdr:row>4</xdr:row>
      <xdr:rowOff>113030</xdr:rowOff>
    </xdr:to>
    <xdr:sp>
      <xdr:nvSpPr>
        <xdr:cNvPr id="23" name="Oval 22"/>
        <xdr:cNvSpPr/>
      </xdr:nvSpPr>
      <xdr:spPr>
        <a:xfrm>
          <a:off x="16486505" y="465455"/>
          <a:ext cx="1285240" cy="409575"/>
        </a:xfrm>
        <a:prstGeom prst="ellipse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1"/>
            <a:t>−13.55% </a:t>
          </a:r>
          <a:endParaRPr lang="en-US" sz="1600" b="1"/>
        </a:p>
        <a:p>
          <a:pPr algn="ctr"/>
          <a:endParaRPr lang="en-US" sz="1600" b="1"/>
        </a:p>
      </xdr:txBody>
    </xdr:sp>
    <xdr:clientData/>
  </xdr:twoCellAnchor>
  <xdr:twoCellAnchor editAs="oneCell">
    <xdr:from>
      <xdr:col>14</xdr:col>
      <xdr:colOff>307975</xdr:colOff>
      <xdr:row>30</xdr:row>
      <xdr:rowOff>186055</xdr:rowOff>
    </xdr:from>
    <xdr:to>
      <xdr:col>19</xdr:col>
      <xdr:colOff>407670</xdr:colOff>
      <xdr:row>48</xdr:row>
      <xdr:rowOff>77470</xdr:rowOff>
    </xdr:to>
    <xdr:pic>
      <xdr:nvPicPr>
        <xdr:cNvPr id="25" name="Picture 24" descr="Screenshot (33)"/>
        <xdr:cNvPicPr>
          <a:picLocks noChangeAspect="1"/>
        </xdr:cNvPicPr>
      </xdr:nvPicPr>
      <xdr:blipFill>
        <a:blip r:embed="rId6"/>
        <a:srcRect l="57680" t="16126" r="1899" b="15048"/>
        <a:stretch>
          <a:fillRect/>
        </a:stretch>
      </xdr:blipFill>
      <xdr:spPr>
        <a:xfrm>
          <a:off x="10185400" y="5910580"/>
          <a:ext cx="4043045" cy="3891915"/>
        </a:xfrm>
        <a:prstGeom prst="rect">
          <a:avLst/>
        </a:prstGeom>
      </xdr:spPr>
    </xdr:pic>
    <xdr:clientData/>
  </xdr:twoCellAnchor>
  <xdr:twoCellAnchor>
    <xdr:from>
      <xdr:col>20</xdr:col>
      <xdr:colOff>281305</xdr:colOff>
      <xdr:row>32</xdr:row>
      <xdr:rowOff>376555</xdr:rowOff>
    </xdr:from>
    <xdr:to>
      <xdr:col>23</xdr:col>
      <xdr:colOff>474980</xdr:colOff>
      <xdr:row>48</xdr:row>
      <xdr:rowOff>89535</xdr:rowOff>
    </xdr:to>
    <xdr:sp>
      <xdr:nvSpPr>
        <xdr:cNvPr id="26" name="Rounded Rectangle 25"/>
        <xdr:cNvSpPr/>
      </xdr:nvSpPr>
      <xdr:spPr>
        <a:xfrm>
          <a:off x="14711680" y="6482080"/>
          <a:ext cx="2022475" cy="3332480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20</xdr:col>
      <xdr:colOff>470535</xdr:colOff>
      <xdr:row>32</xdr:row>
      <xdr:rowOff>540385</xdr:rowOff>
    </xdr:from>
    <xdr:to>
      <xdr:col>23</xdr:col>
      <xdr:colOff>294640</xdr:colOff>
      <xdr:row>48</xdr:row>
      <xdr:rowOff>41910</xdr:rowOff>
    </xdr:to>
    <xdr:sp>
      <xdr:nvSpPr>
        <xdr:cNvPr id="27" name="Text Box 26"/>
        <xdr:cNvSpPr txBox="1"/>
      </xdr:nvSpPr>
      <xdr:spPr>
        <a:xfrm>
          <a:off x="14900910" y="6645910"/>
          <a:ext cx="1652905" cy="3121025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US" sz="1100" b="1"/>
            <a:t>CONCLUSION:</a:t>
          </a:r>
          <a:endParaRPr lang="en-US" sz="1100" b="1"/>
        </a:p>
        <a:p>
          <a:pPr algn="l"/>
          <a:r>
            <a:rPr lang="en-US" sz="1100"/>
            <a:t>Number of patient has a significant linear relationship to the monthly revenue ie, as the number of patients (monthly) increases, the total amount of revenue generated also increases with a linear relationship:</a:t>
          </a:r>
          <a:endParaRPr lang="en-US" sz="1100"/>
        </a:p>
        <a:p>
          <a:pPr algn="l"/>
          <a:r>
            <a:rPr lang="en-US" sz="1100"/>
            <a:t>y=1636.07+339.72x; where x denoted the number of patients (monthly) and y denotes the monthly revenue </a:t>
          </a:r>
          <a:endParaRPr lang="en-US" sz="1100"/>
        </a:p>
      </xdr:txBody>
    </xdr:sp>
    <xdr:clientData/>
  </xdr:twoCellAnchor>
  <xdr:twoCellAnchor>
    <xdr:from>
      <xdr:col>3</xdr:col>
      <xdr:colOff>166370</xdr:colOff>
      <xdr:row>37</xdr:row>
      <xdr:rowOff>34925</xdr:rowOff>
    </xdr:from>
    <xdr:to>
      <xdr:col>8</xdr:col>
      <xdr:colOff>473075</xdr:colOff>
      <xdr:row>49</xdr:row>
      <xdr:rowOff>132715</xdr:rowOff>
    </xdr:to>
    <xdr:graphicFrame>
      <xdr:nvGraphicFramePr>
        <xdr:cNvPr id="24" name="Chart 23"/>
        <xdr:cNvGraphicFramePr/>
      </xdr:nvGraphicFramePr>
      <xdr:xfrm>
        <a:off x="1995170" y="7664450"/>
        <a:ext cx="3602355" cy="23837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581025</xdr:colOff>
      <xdr:row>37</xdr:row>
      <xdr:rowOff>56515</xdr:rowOff>
    </xdr:from>
    <xdr:to>
      <xdr:col>11</xdr:col>
      <xdr:colOff>304165</xdr:colOff>
      <xdr:row>49</xdr:row>
      <xdr:rowOff>113030</xdr:rowOff>
    </xdr:to>
    <xdr:sp>
      <xdr:nvSpPr>
        <xdr:cNvPr id="28" name="Rounded Rectangle 27"/>
        <xdr:cNvSpPr/>
      </xdr:nvSpPr>
      <xdr:spPr>
        <a:xfrm>
          <a:off x="5705475" y="7686040"/>
          <a:ext cx="1761490" cy="2342515"/>
        </a:xfrm>
        <a:prstGeom prst="roundRect">
          <a:avLst/>
        </a:prstGeom>
        <a:solidFill>
          <a:schemeClr val="accent2"/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9</xdr:col>
      <xdr:colOff>70485</xdr:colOff>
      <xdr:row>40</xdr:row>
      <xdr:rowOff>74930</xdr:rowOff>
    </xdr:from>
    <xdr:to>
      <xdr:col>11</xdr:col>
      <xdr:colOff>194310</xdr:colOff>
      <xdr:row>43</xdr:row>
      <xdr:rowOff>151130</xdr:rowOff>
    </xdr:to>
    <xdr:sp>
      <xdr:nvSpPr>
        <xdr:cNvPr id="29" name="Oval 28"/>
        <xdr:cNvSpPr/>
      </xdr:nvSpPr>
      <xdr:spPr>
        <a:xfrm>
          <a:off x="5804535" y="8275955"/>
          <a:ext cx="1552575" cy="647700"/>
        </a:xfrm>
        <a:prstGeom prst="ellipse">
          <a:avLst/>
        </a:prstGeom>
        <a:solidFill>
          <a:schemeClr val="accent2">
            <a:lumMod val="75000"/>
          </a:schemeClr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sz="1100"/>
            <a:t>HIGHEST: </a:t>
          </a:r>
          <a:endParaRPr lang="en-US" sz="1100"/>
        </a:p>
        <a:p>
          <a:pPr algn="l"/>
          <a:r>
            <a:rPr lang="en-US" sz="1100"/>
            <a:t>JULY &amp; AUGUST</a:t>
          </a:r>
          <a:endParaRPr lang="en-US" sz="1100"/>
        </a:p>
      </xdr:txBody>
    </xdr:sp>
    <xdr:clientData/>
  </xdr:twoCellAnchor>
  <xdr:twoCellAnchor>
    <xdr:from>
      <xdr:col>9</xdr:col>
      <xdr:colOff>123190</xdr:colOff>
      <xdr:row>44</xdr:row>
      <xdr:rowOff>125730</xdr:rowOff>
    </xdr:from>
    <xdr:to>
      <xdr:col>11</xdr:col>
      <xdr:colOff>247015</xdr:colOff>
      <xdr:row>48</xdr:row>
      <xdr:rowOff>11430</xdr:rowOff>
    </xdr:to>
    <xdr:sp>
      <xdr:nvSpPr>
        <xdr:cNvPr id="30" name="Oval 29"/>
        <xdr:cNvSpPr/>
      </xdr:nvSpPr>
      <xdr:spPr>
        <a:xfrm>
          <a:off x="5857240" y="9088755"/>
          <a:ext cx="1552575" cy="647700"/>
        </a:xfrm>
        <a:prstGeom prst="ellipse">
          <a:avLst/>
        </a:prstGeom>
        <a:solidFill>
          <a:schemeClr val="accent2">
            <a:lumMod val="75000"/>
          </a:schemeClr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/>
            <a:t>LOWEST: </a:t>
          </a:r>
          <a:endParaRPr lang="en-US" sz="1100"/>
        </a:p>
        <a:p>
          <a:pPr algn="l"/>
          <a:r>
            <a:rPr lang="en-US" sz="1100"/>
            <a:t>APRIL</a:t>
          </a:r>
          <a:endParaRPr lang="en-US" sz="1100"/>
        </a:p>
      </xdr:txBody>
    </xdr:sp>
    <xdr:clientData/>
  </xdr:twoCellAnchor>
  <xdr:twoCellAnchor>
    <xdr:from>
      <xdr:col>9</xdr:col>
      <xdr:colOff>161925</xdr:colOff>
      <xdr:row>37</xdr:row>
      <xdr:rowOff>123825</xdr:rowOff>
    </xdr:from>
    <xdr:to>
      <xdr:col>11</xdr:col>
      <xdr:colOff>227965</xdr:colOff>
      <xdr:row>40</xdr:row>
      <xdr:rowOff>104140</xdr:rowOff>
    </xdr:to>
    <xdr:sp>
      <xdr:nvSpPr>
        <xdr:cNvPr id="31" name="Text Box 30"/>
        <xdr:cNvSpPr txBox="1"/>
      </xdr:nvSpPr>
      <xdr:spPr>
        <a:xfrm>
          <a:off x="5895975" y="7753350"/>
          <a:ext cx="1494790" cy="55181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2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US" sz="1100" b="1"/>
            <a:t>PATIENT BREAKDOWN</a:t>
          </a:r>
          <a:endParaRPr lang="en-US" sz="11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\Desktop\REPORTDUP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V_24"/>
      <sheetName val="REV_25"/>
      <sheetName val="SUMMARY"/>
      <sheetName val="CHART"/>
      <sheetName val="Sheet2"/>
      <sheetName val="Sheet3"/>
      <sheetName val="JAN-DEC 24"/>
      <sheetName val="JAN-DEC 25"/>
      <sheetName val="BLOOD TEST"/>
      <sheetName val="BLOOD SUM"/>
      <sheetName val="Sheet5"/>
      <sheetName val="DUPLICATE"/>
    </sheetNames>
    <sheetDataSet>
      <sheetData sheetId="0">
        <row r="1">
          <cell r="A1">
            <v>2024</v>
          </cell>
          <cell r="B1" t="str">
            <v>MEDIC</v>
          </cell>
          <cell r="C1" t="str">
            <v>GRWT%</v>
          </cell>
          <cell r="D1" t="str">
            <v>GYNEA</v>
          </cell>
          <cell r="E1" t="str">
            <v>PEDI</v>
          </cell>
          <cell r="F1" t="str">
            <v>ORTHO</v>
          </cell>
          <cell r="G1" t="str">
            <v>ENT</v>
          </cell>
          <cell r="H1" t="str">
            <v>DERMA</v>
          </cell>
          <cell r="I1" t="str">
            <v>TOTAL </v>
          </cell>
          <cell r="J1" t="str">
            <v>DOCTOR REV</v>
          </cell>
          <cell r="K1" t="str">
            <v>NET REV</v>
          </cell>
        </row>
        <row r="2">
          <cell r="A2">
            <v>45292</v>
          </cell>
          <cell r="B2">
            <v>31</v>
          </cell>
        </row>
        <row r="2">
          <cell r="D2">
            <v>12</v>
          </cell>
          <cell r="E2">
            <v>2</v>
          </cell>
          <cell r="F2">
            <v>4</v>
          </cell>
          <cell r="G2">
            <v>1</v>
          </cell>
          <cell r="H2">
            <v>2</v>
          </cell>
          <cell r="I2">
            <v>52</v>
          </cell>
          <cell r="J2">
            <v>26000</v>
          </cell>
          <cell r="K2">
            <v>17500</v>
          </cell>
        </row>
        <row r="3">
          <cell r="A3">
            <v>45323</v>
          </cell>
          <cell r="B3">
            <v>58</v>
          </cell>
        </row>
        <row r="3">
          <cell r="D3">
            <v>12</v>
          </cell>
          <cell r="E3">
            <v>3</v>
          </cell>
          <cell r="F3">
            <v>4</v>
          </cell>
          <cell r="G3">
            <v>5</v>
          </cell>
          <cell r="H3">
            <v>3</v>
          </cell>
          <cell r="I3">
            <v>85</v>
          </cell>
          <cell r="J3">
            <v>42500</v>
          </cell>
          <cell r="K3">
            <v>31550</v>
          </cell>
        </row>
        <row r="4">
          <cell r="A4">
            <v>45352</v>
          </cell>
          <cell r="B4">
            <v>59</v>
          </cell>
        </row>
        <row r="4">
          <cell r="D4">
            <v>12</v>
          </cell>
          <cell r="E4">
            <v>2</v>
          </cell>
          <cell r="F4">
            <v>7</v>
          </cell>
          <cell r="G4">
            <v>1</v>
          </cell>
          <cell r="H4">
            <v>6</v>
          </cell>
          <cell r="I4">
            <v>87</v>
          </cell>
          <cell r="J4">
            <v>43500</v>
          </cell>
          <cell r="K4">
            <v>32000</v>
          </cell>
        </row>
        <row r="5">
          <cell r="A5">
            <v>45383</v>
          </cell>
          <cell r="B5">
            <v>49</v>
          </cell>
        </row>
        <row r="5">
          <cell r="D5">
            <v>8</v>
          </cell>
          <cell r="E5">
            <v>5</v>
          </cell>
          <cell r="F5">
            <v>2</v>
          </cell>
          <cell r="G5">
            <v>2</v>
          </cell>
          <cell r="H5">
            <v>9</v>
          </cell>
          <cell r="I5">
            <v>75</v>
          </cell>
          <cell r="J5">
            <v>37500</v>
          </cell>
          <cell r="K5">
            <v>26650</v>
          </cell>
        </row>
        <row r="6">
          <cell r="A6">
            <v>45413</v>
          </cell>
          <cell r="B6">
            <v>54</v>
          </cell>
        </row>
        <row r="6">
          <cell r="D6">
            <v>9</v>
          </cell>
          <cell r="E6">
            <v>3</v>
          </cell>
          <cell r="F6">
            <v>3</v>
          </cell>
          <cell r="G6">
            <v>3</v>
          </cell>
          <cell r="H6">
            <v>2</v>
          </cell>
          <cell r="I6">
            <v>74</v>
          </cell>
          <cell r="J6">
            <v>37000</v>
          </cell>
          <cell r="K6">
            <v>28900</v>
          </cell>
        </row>
        <row r="7">
          <cell r="A7">
            <v>45467</v>
          </cell>
          <cell r="B7">
            <v>65</v>
          </cell>
        </row>
        <row r="7">
          <cell r="D7">
            <v>9</v>
          </cell>
          <cell r="E7">
            <v>3</v>
          </cell>
          <cell r="F7">
            <v>1</v>
          </cell>
          <cell r="G7">
            <v>5</v>
          </cell>
          <cell r="H7">
            <v>6</v>
          </cell>
          <cell r="I7">
            <v>89</v>
          </cell>
          <cell r="J7">
            <v>44500</v>
          </cell>
          <cell r="K7">
            <v>34600</v>
          </cell>
        </row>
        <row r="8">
          <cell r="A8">
            <v>45497</v>
          </cell>
          <cell r="B8">
            <v>80</v>
          </cell>
        </row>
        <row r="8">
          <cell r="D8">
            <v>25</v>
          </cell>
          <cell r="E8">
            <v>1</v>
          </cell>
          <cell r="F8">
            <v>3</v>
          </cell>
          <cell r="G8">
            <v>1</v>
          </cell>
          <cell r="H8">
            <v>3</v>
          </cell>
          <cell r="I8">
            <v>113</v>
          </cell>
          <cell r="J8">
            <v>56500</v>
          </cell>
          <cell r="K8">
            <v>43150</v>
          </cell>
        </row>
        <row r="9">
          <cell r="A9">
            <v>45528</v>
          </cell>
          <cell r="B9">
            <v>65</v>
          </cell>
        </row>
        <row r="9">
          <cell r="D9">
            <v>15</v>
          </cell>
          <cell r="E9">
            <v>6</v>
          </cell>
          <cell r="F9">
            <v>3</v>
          </cell>
          <cell r="G9">
            <v>6</v>
          </cell>
          <cell r="H9">
            <v>5</v>
          </cell>
          <cell r="I9">
            <v>100</v>
          </cell>
          <cell r="J9">
            <v>50000</v>
          </cell>
          <cell r="K9">
            <v>35750</v>
          </cell>
        </row>
        <row r="10">
          <cell r="A10">
            <v>45559</v>
          </cell>
          <cell r="B10">
            <v>73</v>
          </cell>
        </row>
        <row r="10">
          <cell r="D10">
            <v>16</v>
          </cell>
          <cell r="E10">
            <v>12</v>
          </cell>
          <cell r="F10">
            <v>7</v>
          </cell>
          <cell r="G10">
            <v>4</v>
          </cell>
          <cell r="H10">
            <v>14</v>
          </cell>
          <cell r="I10">
            <v>126</v>
          </cell>
          <cell r="J10">
            <v>63000</v>
          </cell>
          <cell r="K10">
            <v>41100</v>
          </cell>
        </row>
        <row r="11">
          <cell r="A11">
            <v>45589</v>
          </cell>
          <cell r="B11">
            <v>53</v>
          </cell>
        </row>
        <row r="11">
          <cell r="D11">
            <v>9</v>
          </cell>
          <cell r="E11">
            <v>1</v>
          </cell>
          <cell r="F11">
            <v>4</v>
          </cell>
          <cell r="G11">
            <v>7</v>
          </cell>
          <cell r="H11">
            <v>1</v>
          </cell>
          <cell r="I11">
            <v>75</v>
          </cell>
          <cell r="J11">
            <v>37500</v>
          </cell>
          <cell r="K11">
            <v>28650</v>
          </cell>
        </row>
        <row r="12">
          <cell r="A12">
            <v>45620</v>
          </cell>
          <cell r="B12">
            <v>83</v>
          </cell>
        </row>
        <row r="12">
          <cell r="D12">
            <v>16</v>
          </cell>
          <cell r="E12">
            <v>4</v>
          </cell>
          <cell r="F12">
            <v>3</v>
          </cell>
          <cell r="G12">
            <v>6</v>
          </cell>
          <cell r="H12">
            <v>12</v>
          </cell>
          <cell r="I12">
            <v>124</v>
          </cell>
          <cell r="J12">
            <v>62000</v>
          </cell>
          <cell r="K12">
            <v>45000</v>
          </cell>
        </row>
        <row r="13">
          <cell r="A13">
            <v>45650</v>
          </cell>
          <cell r="B13">
            <v>63</v>
          </cell>
        </row>
        <row r="13">
          <cell r="D13">
            <v>18</v>
          </cell>
          <cell r="E13">
            <v>10</v>
          </cell>
          <cell r="F13">
            <v>0</v>
          </cell>
          <cell r="G13">
            <v>8</v>
          </cell>
          <cell r="H13">
            <v>7</v>
          </cell>
          <cell r="I13">
            <v>106</v>
          </cell>
          <cell r="J13">
            <v>53000</v>
          </cell>
          <cell r="K13">
            <v>35450</v>
          </cell>
        </row>
        <row r="14">
          <cell r="A14" t="str">
            <v>TOTAL</v>
          </cell>
          <cell r="B14">
            <v>733</v>
          </cell>
        </row>
        <row r="14">
          <cell r="D14">
            <v>161</v>
          </cell>
          <cell r="E14">
            <v>52</v>
          </cell>
          <cell r="F14">
            <v>41</v>
          </cell>
          <cell r="G14">
            <v>49</v>
          </cell>
          <cell r="H14">
            <v>70</v>
          </cell>
          <cell r="I14">
            <v>1106</v>
          </cell>
          <cell r="J14">
            <v>553000</v>
          </cell>
          <cell r="K14">
            <v>400300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\Users\Admin\Desktop\REPORTDUP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\Users\Admin\Desktop\REPORTDUP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80.3603240741" refreshedBy="Admin" recordCount="13">
  <cacheSource type="worksheet">
    <worksheetSource ref="A1:K14" sheet="REV_25" r:id="rId2"/>
  </cacheSource>
  <cacheFields count="11">
    <cacheField name="2025-26" numFmtId="0">
      <sharedItems containsString="0" containsBlank="1" containsNonDate="0" containsDate="1" minDate="2025-01-25T00:00:00" maxDate="2025-12-25T00:00:00" count="13">
        <d v="2025-01-25T00:00:00"/>
        <d v="2025-02-25T00:00:00"/>
        <d v="2025-03-25T00:00:00"/>
        <d v="2025-04-25T00:00:00"/>
        <d v="2025-05-25T00:00:00"/>
        <d v="2025-06-25T00:00:00"/>
        <d v="2025-07-25T00:00:00"/>
        <d v="2025-08-25T00:00:00"/>
        <d v="2025-09-25T00:00:00"/>
        <d v="2025-10-25T00:00:00"/>
        <d v="2025-11-25T00:00:00"/>
        <d v="2025-12-25T00:00:00"/>
        <m/>
      </sharedItems>
    </cacheField>
    <cacheField name="MEDIC" numFmtId="0">
      <sharedItems containsSemiMixedTypes="0" containsString="0" containsNumber="1" containsInteger="1" minValue="0" maxValue="741" count="12">
        <n v="77"/>
        <n v="88"/>
        <n v="82"/>
        <n v="62"/>
        <n v="92"/>
        <n v="81"/>
        <n v="113"/>
        <n v="109"/>
        <n v="67"/>
        <n v="79"/>
        <n v="61"/>
        <n v="741"/>
      </sharedItems>
    </cacheField>
    <cacheField name="GRW%" numFmtId="0">
      <sharedItems containsString="0" containsBlank="1" containsNumber="1" minValue="-0.04" maxValue="0.46" count="13">
        <n v="0.46"/>
        <n v="0.3"/>
        <n v="0.23"/>
        <n v="0.13"/>
        <n v="0.38"/>
        <n v="0.16"/>
        <n v="0.33"/>
        <n v="0.44"/>
        <n v="0.04"/>
        <n v="0.14"/>
        <n v="-0.04"/>
        <n v="-0.02"/>
        <m/>
      </sharedItems>
    </cacheField>
    <cacheField name="GYNEA" numFmtId="0">
      <sharedItems containsSemiMixedTypes="0" containsString="0" containsNumber="1" containsInteger="1" minValue="0" maxValue="166" count="10">
        <n v="10"/>
        <n v="13"/>
        <n v="9"/>
        <n v="16"/>
        <n v="11"/>
        <n v="21"/>
        <n v="29"/>
        <n v="22"/>
        <n v="28"/>
        <n v="166"/>
      </sharedItems>
    </cacheField>
    <cacheField name="PEDI" numFmtId="0">
      <sharedItems containsSemiMixedTypes="0" containsString="0" containsNumber="1" containsInteger="1" minValue="0" maxValue="70" count="8">
        <n v="6"/>
        <n v="9"/>
        <n v="8"/>
        <n v="4"/>
        <n v="11"/>
        <n v="3"/>
        <n v="10"/>
        <n v="70"/>
      </sharedItems>
    </cacheField>
    <cacheField name="ORTHO" numFmtId="0">
      <sharedItems containsSemiMixedTypes="0" containsString="0" containsNumber="1" containsInteger="1" minValue="0" maxValue="29" count="8">
        <n v="4"/>
        <n v="9"/>
        <n v="0"/>
        <n v="3"/>
        <n v="2"/>
        <n v="10"/>
        <n v="5"/>
        <n v="29"/>
      </sharedItems>
    </cacheField>
    <cacheField name="ENT" numFmtId="0">
      <sharedItems containsSemiMixedTypes="0" containsString="0" containsNumber="1" containsInteger="1" minValue="0" maxValue="45" count="7">
        <n v="2"/>
        <n v="3"/>
        <n v="8"/>
        <n v="7"/>
        <n v="6"/>
        <n v="5"/>
        <n v="45"/>
      </sharedItems>
    </cacheField>
    <cacheField name="DERMA" numFmtId="0">
      <sharedItems containsSemiMixedTypes="0" containsString="0" containsNumber="1" containsInteger="1" minValue="0" maxValue="117" count="11">
        <n v="11"/>
        <n v="10"/>
        <n v="14"/>
        <n v="7"/>
        <n v="17"/>
        <n v="12"/>
        <n v="21"/>
        <n v="16"/>
        <n v="8"/>
        <n v="9"/>
        <n v="117"/>
      </sharedItems>
    </cacheField>
    <cacheField name="TOTAL " numFmtId="0">
      <sharedItems containsSemiMixedTypes="0" containsString="0" containsNumber="1" containsInteger="1" minValue="0" maxValue="1168" count="12">
        <n v="110"/>
        <n v="127"/>
        <n v="130"/>
        <n v="96"/>
        <n v="128"/>
        <n v="134"/>
        <n v="171"/>
        <n v="140"/>
        <n v="98"/>
        <n v="124"/>
        <n v="106"/>
        <n v="1168"/>
      </sharedItems>
    </cacheField>
    <cacheField name="DOCTOR REV" numFmtId="0">
      <sharedItems containsSemiMixedTypes="0" containsString="0" containsNumber="1" containsInteger="1" minValue="0" maxValue="767500" count="12">
        <n v="55000"/>
        <n v="63500"/>
        <n v="65000"/>
        <n v="48000"/>
        <n v="64000"/>
        <n v="67000"/>
        <n v="85500"/>
        <n v="70000"/>
        <n v="49000"/>
        <n v="62000"/>
        <n v="53000"/>
        <n v="767500"/>
      </sharedItems>
    </cacheField>
    <cacheField name="NET REV" numFmtId="0">
      <sharedItems containsSemiMixedTypes="0" containsString="0" containsNumber="1" containsInteger="1" minValue="0" maxValue="541100" count="13">
        <n v="41250"/>
        <n v="47400"/>
        <n v="45100"/>
        <n v="34050"/>
        <n v="49050"/>
        <n v="44950"/>
        <n v="61700"/>
        <n v="59650"/>
        <n v="44000"/>
        <n v="36200"/>
        <n v="43200"/>
        <n v="34550"/>
        <n v="54110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81.3430208333" refreshedBy="Admin" recordCount="13">
  <cacheSource type="worksheet">
    <worksheetSource ref="A1:K14" sheet="REV_24" r:id="rId2"/>
  </cacheSource>
  <cacheFields count="11">
    <cacheField name="2024" numFmtId="0">
      <sharedItems containsDate="1" containsMixedTypes="1" count="13">
        <d v="2024-01-01T00:00:00"/>
        <d v="2024-02-01T00:00:00"/>
        <d v="2024-03-01T00:00:00"/>
        <d v="2024-04-01T00:00:00"/>
        <d v="2024-05-01T00:00:00"/>
        <d v="2024-06-24T00:00:00"/>
        <d v="2024-07-24T00:00:00"/>
        <d v="2024-08-24T00:00:00"/>
        <d v="2024-09-24T00:00:00"/>
        <d v="2024-10-24T00:00:00"/>
        <d v="2024-11-24T00:00:00"/>
        <d v="2024-12-24T00:00:00"/>
        <s v="TOTAL"/>
      </sharedItems>
    </cacheField>
    <cacheField name="MEDIC" numFmtId="0">
      <sharedItems containsSemiMixedTypes="0" containsString="0" containsNumber="1" containsInteger="1" minValue="31" maxValue="733" count="12">
        <n v="31"/>
        <n v="58"/>
        <n v="59"/>
        <n v="49"/>
        <n v="54"/>
        <n v="65"/>
        <n v="80"/>
        <n v="73"/>
        <n v="53"/>
        <n v="83"/>
        <n v="63"/>
        <n v="733"/>
      </sharedItems>
    </cacheField>
    <cacheField name="GRWT%" numFmtId="0">
      <sharedItems containsString="0" containsBlank="1" containsNonDate="0" count="1">
        <m/>
      </sharedItems>
    </cacheField>
    <cacheField name="GYNEA" numFmtId="0">
      <sharedItems containsSemiMixedTypes="0" containsString="0" containsNumber="1" containsInteger="1" minValue="8" maxValue="161" count="8">
        <n v="12"/>
        <n v="8"/>
        <n v="9"/>
        <n v="25"/>
        <n v="15"/>
        <n v="16"/>
        <n v="18"/>
        <n v="161"/>
      </sharedItems>
    </cacheField>
    <cacheField name="PEDI" numFmtId="0">
      <sharedItems containsSemiMixedTypes="0" containsString="0" containsNumber="1" containsInteger="1" minValue="1" maxValue="52" count="9">
        <n v="2"/>
        <n v="3"/>
        <n v="5"/>
        <n v="1"/>
        <n v="6"/>
        <n v="12"/>
        <n v="4"/>
        <n v="10"/>
        <n v="52"/>
      </sharedItems>
    </cacheField>
    <cacheField name="ORTHO" numFmtId="0">
      <sharedItems containsSemiMixedTypes="0" containsString="0" containsNumber="1" containsInteger="1" minValue="0" maxValue="41" count="7">
        <n v="4"/>
        <n v="7"/>
        <n v="2"/>
        <n v="3"/>
        <n v="1"/>
        <n v="0"/>
        <n v="41"/>
      </sharedItems>
    </cacheField>
    <cacheField name="ENT" numFmtId="0">
      <sharedItems containsSemiMixedTypes="0" containsString="0" containsNumber="1" containsInteger="1" minValue="1" maxValue="49" count="9">
        <n v="1"/>
        <n v="5"/>
        <n v="2"/>
        <n v="3"/>
        <n v="6"/>
        <n v="4"/>
        <n v="7"/>
        <n v="8"/>
        <n v="49"/>
      </sharedItems>
    </cacheField>
    <cacheField name="DERMA" numFmtId="0">
      <sharedItems containsSemiMixedTypes="0" containsString="0" containsNumber="1" containsInteger="1" minValue="1" maxValue="70" count="10">
        <n v="2"/>
        <n v="3"/>
        <n v="6"/>
        <n v="9"/>
        <n v="5"/>
        <n v="14"/>
        <n v="1"/>
        <n v="12"/>
        <n v="7"/>
        <n v="70"/>
      </sharedItems>
    </cacheField>
    <cacheField name="TOTAL " numFmtId="0">
      <sharedItems containsSemiMixedTypes="0" containsString="0" containsNumber="1" containsInteger="1" minValue="52" maxValue="1106" count="12">
        <n v="52"/>
        <n v="85"/>
        <n v="87"/>
        <n v="75"/>
        <n v="74"/>
        <n v="89"/>
        <n v="113"/>
        <n v="100"/>
        <n v="126"/>
        <n v="124"/>
        <n v="106"/>
        <n v="1106"/>
      </sharedItems>
    </cacheField>
    <cacheField name="DOCTOR REV" numFmtId="0">
      <sharedItems containsSemiMixedTypes="0" containsString="0" containsNumber="1" containsInteger="1" minValue="26000" maxValue="553000" count="12">
        <n v="26000"/>
        <n v="42500"/>
        <n v="43500"/>
        <n v="37500"/>
        <n v="37000"/>
        <n v="44500"/>
        <n v="56500"/>
        <n v="50000"/>
        <n v="63000"/>
        <n v="62000"/>
        <n v="53000"/>
        <n v="553000"/>
      </sharedItems>
    </cacheField>
    <cacheField name="NET REV" numFmtId="0">
      <sharedItems containsSemiMixedTypes="0" containsString="0" containsNumber="1" containsInteger="1" minValue="17500" maxValue="400300" count="13">
        <n v="17500"/>
        <n v="31550"/>
        <n v="32000"/>
        <n v="26650"/>
        <n v="28900"/>
        <n v="34600"/>
        <n v="43150"/>
        <n v="35750"/>
        <n v="41100"/>
        <n v="28650"/>
        <n v="45000"/>
        <n v="35450"/>
        <n v="4003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"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3">
  <r>
    <x v="0"/>
    <x v="0"/>
    <x v="0"/>
    <x v="0"/>
    <x v="0"/>
    <x v="0"/>
    <x v="0"/>
    <x v="0"/>
    <x v="0"/>
    <x v="0"/>
    <x v="0"/>
  </r>
  <r>
    <x v="1"/>
    <x v="1"/>
    <x v="0"/>
    <x v="0"/>
    <x v="1"/>
    <x v="0"/>
    <x v="1"/>
    <x v="1"/>
    <x v="1"/>
    <x v="1"/>
    <x v="1"/>
  </r>
  <r>
    <x v="2"/>
    <x v="2"/>
    <x v="0"/>
    <x v="0"/>
    <x v="0"/>
    <x v="1"/>
    <x v="0"/>
    <x v="2"/>
    <x v="2"/>
    <x v="2"/>
    <x v="2"/>
  </r>
  <r>
    <x v="3"/>
    <x v="3"/>
    <x v="0"/>
    <x v="1"/>
    <x v="2"/>
    <x v="2"/>
    <x v="2"/>
    <x v="3"/>
    <x v="3"/>
    <x v="3"/>
    <x v="3"/>
  </r>
  <r>
    <x v="4"/>
    <x v="4"/>
    <x v="0"/>
    <x v="2"/>
    <x v="1"/>
    <x v="3"/>
    <x v="3"/>
    <x v="0"/>
    <x v="4"/>
    <x v="4"/>
    <x v="4"/>
  </r>
  <r>
    <x v="5"/>
    <x v="5"/>
    <x v="0"/>
    <x v="2"/>
    <x v="1"/>
    <x v="4"/>
    <x v="1"/>
    <x v="2"/>
    <x v="5"/>
    <x v="5"/>
    <x v="5"/>
  </r>
  <r>
    <x v="6"/>
    <x v="6"/>
    <x v="0"/>
    <x v="3"/>
    <x v="3"/>
    <x v="3"/>
    <x v="0"/>
    <x v="1"/>
    <x v="6"/>
    <x v="6"/>
    <x v="6"/>
  </r>
  <r>
    <x v="7"/>
    <x v="5"/>
    <x v="0"/>
    <x v="4"/>
    <x v="4"/>
    <x v="3"/>
    <x v="4"/>
    <x v="4"/>
    <x v="7"/>
    <x v="7"/>
    <x v="7"/>
  </r>
  <r>
    <x v="8"/>
    <x v="7"/>
    <x v="0"/>
    <x v="5"/>
    <x v="5"/>
    <x v="1"/>
    <x v="5"/>
    <x v="5"/>
    <x v="8"/>
    <x v="8"/>
    <x v="8"/>
  </r>
  <r>
    <x v="9"/>
    <x v="8"/>
    <x v="0"/>
    <x v="2"/>
    <x v="3"/>
    <x v="0"/>
    <x v="6"/>
    <x v="6"/>
    <x v="3"/>
    <x v="3"/>
    <x v="9"/>
  </r>
  <r>
    <x v="10"/>
    <x v="9"/>
    <x v="0"/>
    <x v="5"/>
    <x v="6"/>
    <x v="3"/>
    <x v="4"/>
    <x v="7"/>
    <x v="9"/>
    <x v="9"/>
    <x v="10"/>
  </r>
  <r>
    <x v="11"/>
    <x v="10"/>
    <x v="0"/>
    <x v="6"/>
    <x v="7"/>
    <x v="5"/>
    <x v="7"/>
    <x v="8"/>
    <x v="10"/>
    <x v="10"/>
    <x v="11"/>
  </r>
  <r>
    <x v="12"/>
    <x v="11"/>
    <x v="0"/>
    <x v="7"/>
    <x v="8"/>
    <x v="6"/>
    <x v="8"/>
    <x v="9"/>
    <x v="11"/>
    <x v="11"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M7:N20" firstHeaderRow="1" firstDataRow="1" firstDataCol="1"/>
  <pivotFields count="11">
    <pivotField axis="axisRow" compact="0" multipleItemSelectionAllowed="1" showAll="0">
      <items count="14">
        <item h="1" x="12"/>
        <item n="01-2024" x="0"/>
        <item n="02-2024" x="1"/>
        <item n="03-2024" x="2"/>
        <item n="04-2024" x="3"/>
        <item n="05-2024" x="4"/>
        <item n="06-2024" x="5"/>
        <item n="07-2024" x="6"/>
        <item n="08-2024" x="7"/>
        <item n="09-2024" x="8"/>
        <item n="10-2024" x="9"/>
        <item n="11-2024" x="10"/>
        <item n="12-2024" x="1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</pivotFields>
  <rowFields count="1"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NET REV" fld="10" baseField="0" baseItem="0"/>
  </dataFields>
  <formats count="10">
    <format dxfId="0">
      <pivotArea dataOnly="0" labelOnly="1" fieldPosition="0">
        <references count="1">
          <reference field="0" count="1">
            <x v="1"/>
          </reference>
        </references>
      </pivotArea>
    </format>
    <format dxfId="1">
      <pivotArea collapsedLevelsAreSubtotals="1" fieldPosition="0">
        <references count="1">
          <reference field="0" count="1" selected="0">
            <x v="1"/>
          </reference>
        </references>
      </pivotArea>
    </format>
    <format dxfId="2">
      <pivotArea dataOnly="0" labelOnly="1" fieldPosition="0">
        <references count="1">
          <reference field="0" count="1">
            <x v="1"/>
          </reference>
        </references>
      </pivotArea>
    </format>
    <format dxfId="3">
      <pivotArea collapsedLevelsAreSubtotals="1" fieldPosition="0">
        <references count="1">
          <reference field="0" count="1" selected="0">
            <x v="1"/>
          </reference>
        </references>
      </pivotArea>
    </format>
    <format dxfId="4">
      <pivotArea dataOnly="0" labelOnly="1" fieldPosition="0">
        <references count="1">
          <reference field="0" count="1">
            <x v="1"/>
          </reference>
        </references>
      </pivotArea>
    </format>
    <format dxfId="5">
      <pivotArea collapsedLevelsAreSubtotals="1" fieldPosition="0">
        <references count="1">
          <reference field="0" count="1" selected="0">
            <x v="1"/>
          </reference>
        </references>
      </pivotArea>
    </format>
    <format dxfId="6">
      <pivotArea dataOnly="0" labelOnly="1" fieldPosition="0">
        <references count="1">
          <reference field="0" count="1">
            <x v="11"/>
          </reference>
        </references>
      </pivotArea>
    </format>
    <format dxfId="7">
      <pivotArea collapsedLevelsAreSubtotals="1" fieldPosition="0">
        <references count="1">
          <reference field="0" count="1" selected="0">
            <x v="11"/>
          </reference>
        </references>
      </pivotArea>
    </format>
    <format dxfId="8">
      <pivotArea type="all" dataOnly="0" outline="0" fieldPosition="0"/>
    </format>
    <format dxfId="9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M7:N20" firstHeaderRow="1" firstDataRow="1" firstDataCol="1"/>
  <pivotFields count="11">
    <pivotField axis="axisRow" name="2025" compact="0" multipleItemSelectionAllowed="1" showAll="0">
      <items count="14">
        <item n="01-2025" x="0"/>
        <item n="02-2025" x="1"/>
        <item n="03-2025" x="2"/>
        <item n="04-2025" x="3"/>
        <item n="05-2025" x="4"/>
        <item n="06-2025" x="5"/>
        <item n="07-2025" x="6"/>
        <item n="08-2025" x="7"/>
        <item n="09-2025" x="8"/>
        <item n="10-2025" x="9"/>
        <item n="11-2025" x="10"/>
        <item n="12-2025" x="11"/>
        <item h="1" x="1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14">
        <item x="3"/>
        <item x="11"/>
        <item x="9"/>
        <item x="0"/>
        <item x="10"/>
        <item x="8"/>
        <item x="5"/>
        <item x="2"/>
        <item x="1"/>
        <item x="4"/>
        <item x="7"/>
        <item x="6"/>
        <item x="12"/>
        <item t="default"/>
      </items>
    </pivotField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NET REV (₹)" fld="10" baseField="0" baseItem="0"/>
  </dataFields>
  <formats count="10">
    <format dxfId="10">
      <pivotArea dataOnly="0" labelOnly="1" fieldPosition="0">
        <references count="1">
          <reference field="0" count="1">
            <x v="6"/>
          </reference>
        </references>
      </pivotArea>
    </format>
    <format dxfId="11">
      <pivotArea collapsedLevelsAreSubtotals="1" fieldPosition="0">
        <references count="1">
          <reference field="0" count="1" selected="0">
            <x v="6"/>
          </reference>
        </references>
      </pivotArea>
    </format>
    <format dxfId="12">
      <pivotArea dataOnly="0" labelOnly="1" fieldPosition="0">
        <references count="1">
          <reference field="0" count="1">
            <x v="6"/>
          </reference>
        </references>
      </pivotArea>
    </format>
    <format dxfId="13">
      <pivotArea collapsedLevelsAreSubtotals="1" fieldPosition="0">
        <references count="1">
          <reference field="0" count="1" selected="0">
            <x v="6"/>
          </reference>
        </references>
      </pivotArea>
    </format>
    <format dxfId="14">
      <pivotArea type="all" dataOnly="0" outline="0" fieldPosition="0"/>
    </format>
    <format dxfId="15">
      <pivotArea type="all" dataOnly="0" outline="0" fieldPosition="0"/>
    </format>
    <format dxfId="16">
      <pivotArea dataOnly="0" labelOnly="1" fieldPosition="0">
        <references count="1">
          <reference field="0" count="1">
            <x v="3"/>
          </reference>
        </references>
      </pivotArea>
    </format>
    <format dxfId="17">
      <pivotArea collapsedLevelsAreSubtotals="1" fieldPosition="0">
        <references count="1">
          <reference field="0" count="1" selected="0">
            <x v="3"/>
          </reference>
        </references>
      </pivotArea>
    </format>
    <format dxfId="18">
      <pivotArea dataOnly="0" labelOnly="1" fieldPosition="0">
        <references count="1">
          <reference field="0" count="1">
            <x v="6"/>
          </reference>
        </references>
      </pivotArea>
    </format>
    <format dxfId="19">
      <pivotArea collapsedLevelsAreSubtotals="1" fieldPosition="0">
        <references count="1">
          <reference field="0" count="1" selected="0">
            <x v="6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4" Type="http://schemas.openxmlformats.org/officeDocument/2006/relationships/vmlDrawing" Target="../drawings/vmlDrawing1.vml"/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2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7"/>
  <sheetViews>
    <sheetView tabSelected="1" workbookViewId="0">
      <selection activeCell="M16" sqref="M16"/>
    </sheetView>
  </sheetViews>
  <sheetFormatPr defaultColWidth="9.14285714285714" defaultRowHeight="15"/>
  <cols>
    <col min="1" max="1" width="16.5714285714286" customWidth="1"/>
    <col min="4" max="4" width="10.5714285714286" customWidth="1"/>
  </cols>
  <sheetData>
    <row r="1" spans="1:13">
      <c r="A1" s="77" t="s">
        <v>0</v>
      </c>
      <c r="B1" s="77"/>
      <c r="C1" s="77"/>
      <c r="D1" s="77"/>
      <c r="E1" s="77"/>
      <c r="F1" s="77"/>
    </row>
    <row r="3" ht="30" spans="1:13">
      <c r="A3" s="78" t="s">
        <v>1</v>
      </c>
      <c r="B3" s="79">
        <v>2024</v>
      </c>
      <c r="C3" s="80">
        <v>2025</v>
      </c>
      <c r="D3" s="81" t="s">
        <v>2</v>
      </c>
      <c r="K3" s="82" t="s">
        <v>3</v>
      </c>
      <c r="L3" s="83" t="s">
        <v>4</v>
      </c>
      <c r="M3" s="84" t="s">
        <v>5</v>
      </c>
    </row>
    <row r="4" spans="1:13">
      <c r="A4" s="85" t="s">
        <v>6</v>
      </c>
      <c r="B4" s="86">
        <v>400300</v>
      </c>
      <c r="C4" s="87">
        <v>541100</v>
      </c>
      <c r="D4" s="88">
        <f>(C4-B4)/B4</f>
        <v>0.351736197851611</v>
      </c>
      <c r="K4" s="89" t="s">
        <v>7</v>
      </c>
      <c r="L4" s="90">
        <v>17500</v>
      </c>
      <c r="M4" s="91">
        <v>41250</v>
      </c>
    </row>
    <row r="5" spans="1:13">
      <c r="A5" s="85" t="s">
        <v>8</v>
      </c>
      <c r="B5" s="86">
        <v>-214100</v>
      </c>
      <c r="C5" s="87">
        <v>-73300</v>
      </c>
      <c r="D5" s="88">
        <f>-(C5-B5)/B5</f>
        <v>0.657636618402616</v>
      </c>
      <c r="K5" s="89" t="s">
        <v>9</v>
      </c>
      <c r="L5" s="90">
        <v>31550</v>
      </c>
      <c r="M5" s="91">
        <v>47400</v>
      </c>
    </row>
    <row r="6" spans="1:13">
      <c r="A6" s="85" t="s">
        <v>10</v>
      </c>
      <c r="B6" s="86">
        <v>1106</v>
      </c>
      <c r="C6" s="87">
        <v>1168</v>
      </c>
      <c r="D6" s="88">
        <f>(C6-B6)/B6</f>
        <v>0.0560578661844485</v>
      </c>
      <c r="K6" s="89" t="s">
        <v>11</v>
      </c>
      <c r="L6" s="90">
        <v>32000</v>
      </c>
      <c r="M6" s="91">
        <v>45100</v>
      </c>
    </row>
    <row r="7" spans="1:13">
      <c r="A7" s="85" t="s">
        <v>12</v>
      </c>
      <c r="B7" s="86">
        <v>33358</v>
      </c>
      <c r="C7" s="87">
        <v>45092</v>
      </c>
      <c r="D7" s="88">
        <f>(C7-B7)/B7</f>
        <v>0.351759697823611</v>
      </c>
      <c r="K7" s="89" t="s">
        <v>13</v>
      </c>
      <c r="L7" s="90">
        <v>26650</v>
      </c>
      <c r="M7" s="91">
        <v>34050</v>
      </c>
    </row>
    <row r="8" spans="1:13">
      <c r="A8" s="85" t="s">
        <v>14</v>
      </c>
      <c r="B8" s="92">
        <v>-0.5348</v>
      </c>
      <c r="C8" s="93">
        <v>-0.1355</v>
      </c>
      <c r="D8" s="88">
        <f>-(B8-C8)</f>
        <v>0.3993</v>
      </c>
      <c r="K8" s="89" t="s">
        <v>15</v>
      </c>
      <c r="L8" s="90">
        <v>28900</v>
      </c>
      <c r="M8" s="91">
        <v>49050</v>
      </c>
    </row>
    <row r="9" spans="1:13">
      <c r="K9" s="89" t="s">
        <v>16</v>
      </c>
      <c r="L9" s="90">
        <v>34600</v>
      </c>
      <c r="M9" s="91">
        <v>44950</v>
      </c>
    </row>
    <row r="10" spans="1:13">
      <c r="K10" s="89" t="s">
        <v>17</v>
      </c>
      <c r="L10" s="90">
        <v>43150</v>
      </c>
      <c r="M10" s="91">
        <v>61700</v>
      </c>
    </row>
    <row r="11" spans="1:13">
      <c r="A11" s="94" t="s">
        <v>18</v>
      </c>
      <c r="B11" s="94"/>
      <c r="C11" s="94"/>
      <c r="D11" s="94"/>
      <c r="E11" s="94"/>
      <c r="F11" s="94"/>
      <c r="K11" s="89" t="s">
        <v>19</v>
      </c>
      <c r="L11" s="90">
        <v>35750</v>
      </c>
      <c r="M11" s="91">
        <v>59650</v>
      </c>
    </row>
    <row r="12" spans="1:13">
      <c r="A12" s="95" t="s">
        <v>20</v>
      </c>
      <c r="B12" s="96" t="s">
        <v>21</v>
      </c>
      <c r="C12" s="96"/>
      <c r="D12" s="97" t="s">
        <v>22</v>
      </c>
      <c r="K12" s="89" t="s">
        <v>23</v>
      </c>
      <c r="L12" s="90">
        <v>41100</v>
      </c>
      <c r="M12" s="91">
        <v>44000</v>
      </c>
    </row>
    <row r="13" spans="1:13">
      <c r="A13" s="95"/>
      <c r="B13" s="98">
        <v>2024</v>
      </c>
      <c r="C13" s="99">
        <v>2025</v>
      </c>
      <c r="D13" s="97"/>
      <c r="K13" s="89" t="s">
        <v>24</v>
      </c>
      <c r="L13" s="90">
        <v>28650</v>
      </c>
      <c r="M13" s="91">
        <v>36200</v>
      </c>
    </row>
    <row r="14" spans="1:13">
      <c r="A14" s="100" t="s">
        <v>25</v>
      </c>
      <c r="B14" s="101">
        <v>733</v>
      </c>
      <c r="C14" s="87">
        <v>741</v>
      </c>
      <c r="D14" s="88">
        <f>(C14-B14)/B14</f>
        <v>0.0109140518417462</v>
      </c>
      <c r="K14" s="89" t="s">
        <v>26</v>
      </c>
      <c r="L14" s="90">
        <v>45000</v>
      </c>
      <c r="M14" s="91">
        <v>43200</v>
      </c>
    </row>
    <row r="15" spans="1:13">
      <c r="A15" s="102" t="s">
        <v>27</v>
      </c>
      <c r="B15" s="101">
        <v>161</v>
      </c>
      <c r="C15" s="87">
        <v>166</v>
      </c>
      <c r="D15" s="88">
        <f>(C15-B15)/B15</f>
        <v>0.031055900621118</v>
      </c>
      <c r="K15" s="89" t="s">
        <v>28</v>
      </c>
      <c r="L15" s="90">
        <v>35450</v>
      </c>
      <c r="M15" s="91">
        <v>34550</v>
      </c>
    </row>
    <row r="16" spans="1:13">
      <c r="A16" s="102" t="s">
        <v>29</v>
      </c>
      <c r="B16" s="101">
        <v>52</v>
      </c>
      <c r="C16" s="87">
        <v>70</v>
      </c>
      <c r="D16" s="88">
        <f>(C16-B16)/B16</f>
        <v>0.346153846153846</v>
      </c>
    </row>
    <row r="17" spans="1:4">
      <c r="A17" s="103" t="s">
        <v>30</v>
      </c>
      <c r="B17" s="101">
        <v>41</v>
      </c>
      <c r="C17" s="87">
        <v>29</v>
      </c>
      <c r="D17" s="88">
        <f>(C17-B17)/B17</f>
        <v>-0.292682926829268</v>
      </c>
    </row>
    <row r="18" spans="1:4">
      <c r="A18" s="103" t="s">
        <v>31</v>
      </c>
      <c r="B18" s="101">
        <v>49</v>
      </c>
      <c r="C18" s="87">
        <v>45</v>
      </c>
      <c r="D18" s="88">
        <f>(C18-B18)/B18</f>
        <v>-0.0816326530612245</v>
      </c>
    </row>
    <row r="19" spans="1:4">
      <c r="A19" s="102" t="s">
        <v>32</v>
      </c>
      <c r="B19" s="101">
        <v>70</v>
      </c>
      <c r="C19" s="87">
        <v>117</v>
      </c>
      <c r="D19" s="88">
        <f>(C19-B19)/B19</f>
        <v>0.671428571428571</v>
      </c>
    </row>
    <row r="27" spans="1:4">
      <c r="A27" s="104" t="s">
        <v>33</v>
      </c>
    </row>
  </sheetData>
  <mergeCells count="5">
    <mergeCell ref="A1:F1"/>
    <mergeCell ref="A11:F11"/>
    <mergeCell ref="B12:C12"/>
    <mergeCell ref="A12:A13"/>
    <mergeCell ref="D12:D13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7"/>
  <sheetViews>
    <sheetView zoomScale="60" zoomScaleNormal="60" workbookViewId="0">
      <selection activeCell="M7" sqref="M7:N20"/>
    </sheetView>
  </sheetViews>
  <sheetFormatPr defaultColWidth="9.14285714285714" defaultRowHeight="15"/>
  <cols>
    <col min="1" max="9" width="9.14285714285714" style="55"/>
    <col min="10" max="10" width="13.8571428571429" style="55" customWidth="1"/>
    <col min="11" max="11" width="10.8571428571429" style="55" customWidth="1"/>
    <col min="12" max="12" width="9.14285714285714" style="55"/>
    <col min="13" max="13" width="12.1428571428571" style="55"/>
    <col min="14" max="14" width="16.1428571428571" style="55"/>
    <col min="15" max="15" width="16.8571428571429" style="55" customWidth="1"/>
    <col min="16" max="22" width="9.14285714285714" style="55"/>
    <col min="23" max="23" width="17.5238095238095" style="55" customWidth="1"/>
    <col min="24" max="24" width="14.5428571428571" style="55" customWidth="1"/>
    <col min="25" max="25" width="9.14285714285714" style="55"/>
    <col min="26" max="26" width="12.8571428571429" style="55"/>
    <col min="27" max="16384" width="9.14285714285714" style="55"/>
  </cols>
  <sheetData>
    <row r="1" spans="1:26">
      <c r="A1" s="2">
        <v>2024</v>
      </c>
      <c r="B1" s="3" t="s">
        <v>34</v>
      </c>
      <c r="C1" s="3" t="s">
        <v>35</v>
      </c>
      <c r="D1" s="3" t="s">
        <v>36</v>
      </c>
      <c r="E1" s="3" t="s">
        <v>37</v>
      </c>
      <c r="F1" s="3" t="s">
        <v>38</v>
      </c>
      <c r="G1" s="3" t="s">
        <v>31</v>
      </c>
      <c r="H1" s="3" t="s">
        <v>39</v>
      </c>
      <c r="I1" s="5" t="s">
        <v>40</v>
      </c>
      <c r="J1" s="6" t="s">
        <v>41</v>
      </c>
      <c r="K1" s="6" t="s">
        <v>42</v>
      </c>
    </row>
    <row r="2" spans="1:26">
      <c r="A2" s="56">
        <v>45292</v>
      </c>
      <c r="B2" s="57">
        <v>31</v>
      </c>
      <c r="C2" s="57"/>
      <c r="D2" s="57">
        <v>12</v>
      </c>
      <c r="E2" s="57">
        <v>2</v>
      </c>
      <c r="F2" s="57">
        <v>4</v>
      </c>
      <c r="G2" s="57">
        <v>1</v>
      </c>
      <c r="H2" s="57">
        <v>2</v>
      </c>
      <c r="I2" s="16">
        <f t="shared" ref="I2:I13" si="0">SUM(B2:H2)</f>
        <v>52</v>
      </c>
      <c r="J2" s="58">
        <f t="shared" ref="J2:J14" si="1">I2*500</f>
        <v>26000</v>
      </c>
      <c r="K2" s="58">
        <f t="shared" ref="K2:K14" si="2">SUM((B2)*500,(D2)*100,(E2)*100,(F2)*100,(G2)*100,(H2)*50)</f>
        <v>17500</v>
      </c>
    </row>
    <row r="3" spans="1:26">
      <c r="A3" s="56">
        <v>45323</v>
      </c>
      <c r="B3" s="57">
        <v>58</v>
      </c>
      <c r="C3" s="57"/>
      <c r="D3" s="57">
        <v>12</v>
      </c>
      <c r="E3" s="57">
        <v>3</v>
      </c>
      <c r="F3" s="57">
        <v>4</v>
      </c>
      <c r="G3" s="57">
        <v>5</v>
      </c>
      <c r="H3" s="57">
        <v>3</v>
      </c>
      <c r="I3" s="16">
        <f t="shared" si="0"/>
        <v>85</v>
      </c>
      <c r="J3" s="58">
        <f t="shared" si="1"/>
        <v>42500</v>
      </c>
      <c r="K3" s="58">
        <f t="shared" si="2"/>
        <v>31550</v>
      </c>
    </row>
    <row r="4" spans="1:26">
      <c r="A4" s="56">
        <v>45352</v>
      </c>
      <c r="B4" s="57">
        <v>59</v>
      </c>
      <c r="C4" s="57"/>
      <c r="D4" s="57">
        <v>12</v>
      </c>
      <c r="E4" s="57">
        <v>2</v>
      </c>
      <c r="F4" s="57">
        <v>7</v>
      </c>
      <c r="G4" s="57">
        <v>1</v>
      </c>
      <c r="H4" s="57">
        <v>6</v>
      </c>
      <c r="I4" s="16">
        <f t="shared" si="0"/>
        <v>87</v>
      </c>
      <c r="J4" s="58">
        <f t="shared" si="1"/>
        <v>43500</v>
      </c>
      <c r="K4" s="58">
        <f t="shared" si="2"/>
        <v>32000</v>
      </c>
    </row>
    <row r="5" spans="1:26">
      <c r="A5" s="59">
        <v>45383</v>
      </c>
      <c r="B5" s="60">
        <v>49</v>
      </c>
      <c r="C5" s="60"/>
      <c r="D5" s="60">
        <v>8</v>
      </c>
      <c r="E5" s="60">
        <v>5</v>
      </c>
      <c r="F5" s="60">
        <v>2</v>
      </c>
      <c r="G5" s="60">
        <v>2</v>
      </c>
      <c r="H5" s="60">
        <v>9</v>
      </c>
      <c r="I5" s="16">
        <f t="shared" si="0"/>
        <v>75</v>
      </c>
      <c r="J5" s="58">
        <f t="shared" si="1"/>
        <v>37500</v>
      </c>
      <c r="K5" s="58">
        <f t="shared" si="2"/>
        <v>26650</v>
      </c>
    </row>
    <row r="6" spans="1:26">
      <c r="A6" s="59">
        <v>45413</v>
      </c>
      <c r="B6" s="60">
        <v>54</v>
      </c>
      <c r="C6" s="60"/>
      <c r="D6" s="60">
        <v>9</v>
      </c>
      <c r="E6" s="60">
        <v>3</v>
      </c>
      <c r="F6" s="60">
        <v>3</v>
      </c>
      <c r="G6" s="60">
        <v>3</v>
      </c>
      <c r="H6" s="60">
        <v>2</v>
      </c>
      <c r="I6" s="16">
        <f t="shared" si="0"/>
        <v>74</v>
      </c>
      <c r="J6" s="58">
        <f t="shared" si="1"/>
        <v>37000</v>
      </c>
      <c r="K6" s="58">
        <f t="shared" si="2"/>
        <v>28900</v>
      </c>
    </row>
    <row r="7" spans="1:26">
      <c r="A7" s="61">
        <v>45467</v>
      </c>
      <c r="B7" s="60">
        <v>65</v>
      </c>
      <c r="C7" s="60"/>
      <c r="D7" s="62">
        <v>9</v>
      </c>
      <c r="E7" s="62">
        <v>3</v>
      </c>
      <c r="F7" s="62">
        <v>1</v>
      </c>
      <c r="G7" s="62">
        <v>5</v>
      </c>
      <c r="H7" s="60">
        <v>6</v>
      </c>
      <c r="I7" s="16">
        <f t="shared" si="0"/>
        <v>89</v>
      </c>
      <c r="J7" s="58">
        <f t="shared" si="1"/>
        <v>44500</v>
      </c>
      <c r="K7" s="58">
        <f t="shared" si="2"/>
        <v>34600</v>
      </c>
      <c r="M7" s="63" t="s">
        <v>43</v>
      </c>
      <c r="N7" s="63" t="s">
        <v>44</v>
      </c>
      <c r="O7"/>
    </row>
    <row r="8" spans="1:26">
      <c r="A8" s="61">
        <v>45497</v>
      </c>
      <c r="B8" s="62">
        <v>80</v>
      </c>
      <c r="C8" s="62"/>
      <c r="D8" s="62">
        <v>25</v>
      </c>
      <c r="E8" s="62">
        <v>1</v>
      </c>
      <c r="F8" s="62">
        <v>3</v>
      </c>
      <c r="G8" s="62">
        <v>1</v>
      </c>
      <c r="H8" s="62">
        <v>3</v>
      </c>
      <c r="I8" s="16">
        <f t="shared" si="0"/>
        <v>113</v>
      </c>
      <c r="J8" s="58">
        <f t="shared" si="1"/>
        <v>56500</v>
      </c>
      <c r="K8" s="58">
        <f t="shared" si="2"/>
        <v>43150</v>
      </c>
      <c r="M8" s="64" t="s">
        <v>45</v>
      </c>
      <c r="N8" s="65">
        <v>17500</v>
      </c>
      <c r="O8"/>
    </row>
    <row r="9" spans="1:26">
      <c r="A9" s="61">
        <v>45528</v>
      </c>
      <c r="B9" s="60">
        <v>65</v>
      </c>
      <c r="C9" s="60"/>
      <c r="D9" s="62">
        <v>15</v>
      </c>
      <c r="E9" s="60">
        <v>6</v>
      </c>
      <c r="F9" s="62">
        <v>3</v>
      </c>
      <c r="G9" s="60">
        <v>6</v>
      </c>
      <c r="H9" s="62">
        <v>5</v>
      </c>
      <c r="I9" s="16">
        <f t="shared" si="0"/>
        <v>100</v>
      </c>
      <c r="J9" s="58">
        <f t="shared" si="1"/>
        <v>50000</v>
      </c>
      <c r="K9" s="58">
        <f t="shared" si="2"/>
        <v>35750</v>
      </c>
      <c r="M9" s="66" t="s">
        <v>46</v>
      </c>
      <c r="N9" s="63">
        <v>31550</v>
      </c>
      <c r="O9"/>
      <c r="Z9" s="67"/>
    </row>
    <row r="10" spans="1:26">
      <c r="A10" s="61">
        <v>45559</v>
      </c>
      <c r="B10" s="62">
        <v>73</v>
      </c>
      <c r="C10" s="62"/>
      <c r="D10" s="60">
        <v>16</v>
      </c>
      <c r="E10" s="62">
        <v>12</v>
      </c>
      <c r="F10" s="62">
        <v>7</v>
      </c>
      <c r="G10" s="62">
        <v>4</v>
      </c>
      <c r="H10" s="62">
        <v>14</v>
      </c>
      <c r="I10" s="16">
        <f t="shared" si="0"/>
        <v>126</v>
      </c>
      <c r="J10" s="58">
        <f t="shared" si="1"/>
        <v>63000</v>
      </c>
      <c r="K10" s="58">
        <f t="shared" si="2"/>
        <v>41100</v>
      </c>
      <c r="M10" s="66" t="s">
        <v>47</v>
      </c>
      <c r="N10" s="63">
        <v>32000</v>
      </c>
      <c r="O10"/>
    </row>
    <row r="11" spans="1:26">
      <c r="A11" s="61">
        <v>45589</v>
      </c>
      <c r="B11" s="62">
        <v>53</v>
      </c>
      <c r="C11" s="62"/>
      <c r="D11" s="62">
        <v>9</v>
      </c>
      <c r="E11" s="62">
        <v>1</v>
      </c>
      <c r="F11" s="62">
        <v>4</v>
      </c>
      <c r="G11" s="62">
        <v>7</v>
      </c>
      <c r="H11" s="62">
        <v>1</v>
      </c>
      <c r="I11" s="16">
        <f t="shared" si="0"/>
        <v>75</v>
      </c>
      <c r="J11" s="58">
        <f t="shared" si="1"/>
        <v>37500</v>
      </c>
      <c r="K11" s="58">
        <f t="shared" si="2"/>
        <v>28650</v>
      </c>
      <c r="M11" s="66" t="s">
        <v>48</v>
      </c>
      <c r="N11" s="63">
        <v>26650</v>
      </c>
      <c r="O11"/>
    </row>
    <row r="12" spans="1:26">
      <c r="A12" s="61">
        <v>45620</v>
      </c>
      <c r="B12" s="62">
        <v>83</v>
      </c>
      <c r="C12" s="62"/>
      <c r="D12" s="60">
        <v>16</v>
      </c>
      <c r="E12" s="62">
        <v>4</v>
      </c>
      <c r="F12" s="62">
        <v>3</v>
      </c>
      <c r="G12" s="60">
        <v>6</v>
      </c>
      <c r="H12" s="62">
        <v>12</v>
      </c>
      <c r="I12" s="16">
        <f t="shared" si="0"/>
        <v>124</v>
      </c>
      <c r="J12" s="58">
        <f t="shared" si="1"/>
        <v>62000</v>
      </c>
      <c r="K12" s="58">
        <f t="shared" si="2"/>
        <v>45000</v>
      </c>
      <c r="M12" s="66" t="s">
        <v>49</v>
      </c>
      <c r="N12" s="63">
        <v>28900</v>
      </c>
      <c r="O12"/>
    </row>
    <row r="13" spans="1:26">
      <c r="A13" s="61">
        <v>45650</v>
      </c>
      <c r="B13" s="62">
        <v>63</v>
      </c>
      <c r="C13" s="62"/>
      <c r="D13" s="62">
        <v>18</v>
      </c>
      <c r="E13" s="62">
        <v>10</v>
      </c>
      <c r="F13" s="62">
        <v>0</v>
      </c>
      <c r="G13" s="62">
        <v>8</v>
      </c>
      <c r="H13" s="62">
        <v>7</v>
      </c>
      <c r="I13" s="16">
        <f t="shared" si="0"/>
        <v>106</v>
      </c>
      <c r="J13" s="58">
        <f t="shared" si="1"/>
        <v>53000</v>
      </c>
      <c r="K13" s="58">
        <f t="shared" si="2"/>
        <v>35450</v>
      </c>
      <c r="M13" s="66" t="s">
        <v>50</v>
      </c>
      <c r="N13" s="63">
        <v>34600</v>
      </c>
      <c r="O13"/>
    </row>
    <row r="14" spans="1:26">
      <c r="A14" s="68" t="s">
        <v>51</v>
      </c>
      <c r="B14" s="69">
        <f t="shared" ref="B14:I14" si="3">SUM(B2:B13)</f>
        <v>733</v>
      </c>
      <c r="C14" s="69"/>
      <c r="D14" s="69">
        <f t="shared" si="3"/>
        <v>161</v>
      </c>
      <c r="E14" s="69">
        <f t="shared" si="3"/>
        <v>52</v>
      </c>
      <c r="F14" s="69">
        <f t="shared" si="3"/>
        <v>41</v>
      </c>
      <c r="G14" s="69">
        <f t="shared" si="3"/>
        <v>49</v>
      </c>
      <c r="H14" s="69">
        <f t="shared" si="3"/>
        <v>70</v>
      </c>
      <c r="I14" s="69">
        <f t="shared" si="3"/>
        <v>1106</v>
      </c>
      <c r="J14" s="69">
        <f t="shared" si="1"/>
        <v>553000</v>
      </c>
      <c r="K14" s="69">
        <f t="shared" si="2"/>
        <v>400300</v>
      </c>
      <c r="M14" s="66" t="s">
        <v>52</v>
      </c>
      <c r="N14" s="63">
        <v>43150</v>
      </c>
      <c r="O14"/>
    </row>
    <row r="15" spans="1:26">
      <c r="M15" s="66" t="s">
        <v>53</v>
      </c>
      <c r="N15" s="63">
        <v>35750</v>
      </c>
      <c r="O15"/>
    </row>
    <row r="16" spans="1:26">
      <c r="M16" s="66" t="s">
        <v>54</v>
      </c>
      <c r="N16" s="63">
        <v>41100</v>
      </c>
      <c r="O16"/>
    </row>
    <row r="17" spans="13:24">
      <c r="M17" s="66" t="s">
        <v>55</v>
      </c>
      <c r="N17" s="63">
        <v>28650</v>
      </c>
      <c r="O17"/>
    </row>
    <row r="18" spans="13:24">
      <c r="M18" s="70" t="s">
        <v>56</v>
      </c>
      <c r="N18" s="71">
        <v>45000</v>
      </c>
      <c r="O18"/>
    </row>
    <row r="19" spans="13:24">
      <c r="M19" s="66" t="s">
        <v>57</v>
      </c>
      <c r="N19" s="63">
        <v>35450</v>
      </c>
      <c r="O19"/>
    </row>
    <row r="20" ht="15.75" spans="13:24">
      <c r="M20" s="63" t="s">
        <v>58</v>
      </c>
      <c r="N20" s="63">
        <v>400300</v>
      </c>
      <c r="O20"/>
    </row>
    <row r="21" ht="15.75" spans="13:24">
      <c r="M21"/>
      <c r="N21"/>
      <c r="O21"/>
      <c r="W21" s="30" t="s">
        <v>59</v>
      </c>
      <c r="X21" s="31"/>
    </row>
    <row r="22" spans="13:24">
      <c r="M22"/>
      <c r="N22"/>
      <c r="O22"/>
      <c r="W22" s="35" t="s">
        <v>60</v>
      </c>
      <c r="X22" s="35" cm="1">
        <f t="array" ref="X22">SUM((B2:B13)*500,(D2:D13)*500,(E2:E13)*500,(F2:F13)*500,(G2:G13)*500,(H2:H13)*500)</f>
        <v>553000</v>
      </c>
    </row>
    <row r="23" spans="13:24">
      <c r="M23" s="28" t="s">
        <v>20</v>
      </c>
      <c r="N23" s="28" t="s">
        <v>61</v>
      </c>
      <c r="O23" s="28" t="s">
        <v>62</v>
      </c>
      <c r="W23" s="39" t="s">
        <v>63</v>
      </c>
      <c r="X23" s="39" cm="1">
        <f t="array" ref="X23">SUM((B2:B13)*500,(D2:D13)*100,(E2:E13)*100,(F2:F13)*100,(G2:G13)*100,(H2:H13)*50)</f>
        <v>400300</v>
      </c>
    </row>
    <row r="24" spans="13:24">
      <c r="M24" s="32" t="s">
        <v>25</v>
      </c>
      <c r="N24" s="32">
        <v>733</v>
      </c>
      <c r="O24" s="33">
        <f>(N24/N30)</f>
        <v>0.662748643761302</v>
      </c>
      <c r="W24" s="39" t="s">
        <v>64</v>
      </c>
      <c r="X24" s="40">
        <v>614400</v>
      </c>
    </row>
    <row r="25" spans="13:24">
      <c r="M25" s="36" t="s">
        <v>27</v>
      </c>
      <c r="N25" s="36">
        <v>161</v>
      </c>
      <c r="O25" s="72">
        <f>(N25/N30)</f>
        <v>0.145569620253165</v>
      </c>
      <c r="W25" s="39" t="s">
        <v>65</v>
      </c>
      <c r="X25" s="39">
        <f>X23-X24</f>
        <v>-214100</v>
      </c>
    </row>
    <row r="26" spans="13:24">
      <c r="M26" s="36" t="s">
        <v>29</v>
      </c>
      <c r="N26" s="36">
        <v>52</v>
      </c>
      <c r="O26" s="72">
        <f>(N26/N30)</f>
        <v>0.0470162748643761</v>
      </c>
    </row>
    <row r="27" spans="13:24">
      <c r="M27" s="41" t="s">
        <v>30</v>
      </c>
      <c r="N27" s="41">
        <v>41</v>
      </c>
      <c r="O27" s="42">
        <f>(N27/N30)</f>
        <v>0.0370705244122966</v>
      </c>
    </row>
    <row r="28" spans="13:24">
      <c r="M28" s="73" t="s">
        <v>31</v>
      </c>
      <c r="N28" s="73">
        <v>49</v>
      </c>
      <c r="O28" s="72">
        <f>(N28/N30)</f>
        <v>0.0443037974683544</v>
      </c>
    </row>
    <row r="29" spans="13:24">
      <c r="M29" s="36" t="s">
        <v>32</v>
      </c>
      <c r="N29" s="36">
        <v>70</v>
      </c>
      <c r="O29" s="72">
        <f>(N29/N30)</f>
        <v>0.0632911392405063</v>
      </c>
    </row>
    <row r="30" spans="13:24">
      <c r="M30" s="39" t="s">
        <v>58</v>
      </c>
      <c r="N30" s="39">
        <f>SUM(N24:N29)</f>
        <v>1106</v>
      </c>
      <c r="O30" s="39"/>
    </row>
    <row r="33" ht="60" spans="1:14">
      <c r="M33" s="45" t="s">
        <v>66</v>
      </c>
      <c r="N33" s="46" t="s">
        <v>67</v>
      </c>
    </row>
    <row r="34" spans="1:14">
      <c r="M34" s="47">
        <f>I2</f>
        <v>52</v>
      </c>
      <c r="N34" s="36">
        <f>K2</f>
        <v>17500</v>
      </c>
    </row>
    <row r="35" spans="1:14">
      <c r="A35" s="28" t="s">
        <v>68</v>
      </c>
      <c r="B35" s="48" t="s">
        <v>69</v>
      </c>
      <c r="C35" s="48"/>
      <c r="M35" s="47">
        <f t="shared" ref="M35:M45" si="4">I3</f>
        <v>85</v>
      </c>
      <c r="N35" s="36">
        <f t="shared" ref="N35:N45" si="5">K3</f>
        <v>31550</v>
      </c>
    </row>
    <row r="36" spans="1:14">
      <c r="A36" s="41" t="s">
        <v>7</v>
      </c>
      <c r="B36" s="51">
        <f>I2</f>
        <v>52</v>
      </c>
      <c r="C36" s="52"/>
      <c r="M36" s="47">
        <f t="shared" si="4"/>
        <v>87</v>
      </c>
      <c r="N36" s="36">
        <f t="shared" si="5"/>
        <v>32000</v>
      </c>
    </row>
    <row r="37" spans="1:14">
      <c r="A37" s="36" t="s">
        <v>9</v>
      </c>
      <c r="B37" s="49">
        <f t="shared" ref="B37:B47" si="6">I3</f>
        <v>85</v>
      </c>
      <c r="C37" s="50"/>
      <c r="M37" s="47">
        <f t="shared" si="4"/>
        <v>75</v>
      </c>
      <c r="N37" s="36">
        <f t="shared" si="5"/>
        <v>26650</v>
      </c>
    </row>
    <row r="38" spans="1:14">
      <c r="A38" s="36" t="s">
        <v>11</v>
      </c>
      <c r="B38" s="49">
        <f t="shared" si="6"/>
        <v>87</v>
      </c>
      <c r="C38" s="50"/>
      <c r="M38" s="47">
        <f t="shared" si="4"/>
        <v>74</v>
      </c>
      <c r="N38" s="36">
        <f t="shared" si="5"/>
        <v>28900</v>
      </c>
    </row>
    <row r="39" spans="1:14">
      <c r="A39" s="73" t="s">
        <v>13</v>
      </c>
      <c r="B39" s="49">
        <f t="shared" si="6"/>
        <v>75</v>
      </c>
      <c r="C39" s="50"/>
      <c r="M39" s="47">
        <f t="shared" si="4"/>
        <v>89</v>
      </c>
      <c r="N39" s="36">
        <f t="shared" si="5"/>
        <v>34600</v>
      </c>
    </row>
    <row r="40" spans="1:14">
      <c r="A40" s="36" t="s">
        <v>15</v>
      </c>
      <c r="B40" s="49">
        <f t="shared" si="6"/>
        <v>74</v>
      </c>
      <c r="C40" s="50"/>
      <c r="M40" s="47">
        <f t="shared" si="4"/>
        <v>113</v>
      </c>
      <c r="N40" s="36">
        <f t="shared" si="5"/>
        <v>43150</v>
      </c>
    </row>
    <row r="41" spans="1:14">
      <c r="A41" s="36" t="s">
        <v>16</v>
      </c>
      <c r="B41" s="49">
        <f t="shared" si="6"/>
        <v>89</v>
      </c>
      <c r="C41" s="50"/>
      <c r="M41" s="47">
        <f t="shared" si="4"/>
        <v>100</v>
      </c>
      <c r="N41" s="36">
        <f t="shared" si="5"/>
        <v>35750</v>
      </c>
    </row>
    <row r="42" spans="1:14">
      <c r="A42" s="73" t="s">
        <v>17</v>
      </c>
      <c r="B42" s="49">
        <f t="shared" si="6"/>
        <v>113</v>
      </c>
      <c r="C42" s="50"/>
      <c r="M42" s="47">
        <f t="shared" si="4"/>
        <v>126</v>
      </c>
      <c r="N42" s="36">
        <f t="shared" si="5"/>
        <v>41100</v>
      </c>
    </row>
    <row r="43" spans="1:14">
      <c r="A43" s="73" t="s">
        <v>19</v>
      </c>
      <c r="B43" s="49">
        <f t="shared" si="6"/>
        <v>100</v>
      </c>
      <c r="C43" s="50"/>
      <c r="M43" s="47">
        <f t="shared" si="4"/>
        <v>75</v>
      </c>
      <c r="N43" s="36">
        <f t="shared" si="5"/>
        <v>28650</v>
      </c>
    </row>
    <row r="44" spans="1:14">
      <c r="A44" s="74" t="s">
        <v>23</v>
      </c>
      <c r="B44" s="75">
        <f t="shared" si="6"/>
        <v>126</v>
      </c>
      <c r="C44" s="76"/>
      <c r="M44" s="47">
        <f t="shared" si="4"/>
        <v>124</v>
      </c>
      <c r="N44" s="36">
        <f t="shared" si="5"/>
        <v>45000</v>
      </c>
    </row>
    <row r="45" spans="1:14">
      <c r="A45" s="36" t="s">
        <v>24</v>
      </c>
      <c r="B45" s="49">
        <f t="shared" si="6"/>
        <v>75</v>
      </c>
      <c r="C45" s="50"/>
      <c r="M45" s="47">
        <f t="shared" si="4"/>
        <v>106</v>
      </c>
      <c r="N45" s="36">
        <f t="shared" si="5"/>
        <v>35450</v>
      </c>
    </row>
    <row r="46" spans="1:14">
      <c r="A46" s="36" t="s">
        <v>26</v>
      </c>
      <c r="B46" s="49">
        <f t="shared" si="6"/>
        <v>124</v>
      </c>
      <c r="C46" s="50"/>
    </row>
    <row r="47" spans="1:14">
      <c r="A47" s="36" t="s">
        <v>28</v>
      </c>
      <c r="B47" s="49">
        <f t="shared" si="6"/>
        <v>106</v>
      </c>
      <c r="C47" s="50"/>
    </row>
  </sheetData>
  <mergeCells count="14">
    <mergeCell ref="W21:X21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</mergeCells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50"/>
  <sheetViews>
    <sheetView zoomScale="60" zoomScaleNormal="60" workbookViewId="0">
      <selection activeCell="M7" sqref="M7:N20"/>
    </sheetView>
  </sheetViews>
  <sheetFormatPr defaultColWidth="9.14285714285714" defaultRowHeight="15"/>
  <cols>
    <col min="1" max="7" width="9.14285714285714" style="1"/>
    <col min="8" max="8" width="12.8571428571429" style="1"/>
    <col min="9" max="9" width="9.14285714285714" style="1"/>
    <col min="10" max="10" width="12.2857142857143" style="1" customWidth="1"/>
    <col min="11" max="12" width="9.14285714285714" style="1"/>
    <col min="13" max="13" width="12.1428571428571" style="1"/>
    <col min="14" max="14" width="19.4285714285714" style="1"/>
    <col min="15" max="15" width="16.1428571428571" style="1" customWidth="1"/>
    <col min="16" max="16" width="11.7142857142857" style="1"/>
    <col min="17" max="18" width="7.57142857142857" style="1"/>
    <col min="19" max="19" width="16.1428571428571" style="1"/>
    <col min="20" max="23" width="9.14285714285714" style="1"/>
    <col min="24" max="24" width="18.1428571428571" style="1" customWidth="1"/>
    <col min="25" max="16384" width="9.14285714285714" style="1"/>
  </cols>
  <sheetData>
    <row r="1" spans="1:24">
      <c r="A1" s="2">
        <v>2025</v>
      </c>
      <c r="B1" s="3" t="s">
        <v>34</v>
      </c>
      <c r="C1" s="4" t="s">
        <v>70</v>
      </c>
      <c r="D1" s="3" t="s">
        <v>36</v>
      </c>
      <c r="E1" s="3" t="s">
        <v>37</v>
      </c>
      <c r="F1" s="3" t="s">
        <v>38</v>
      </c>
      <c r="G1" s="3" t="s">
        <v>31</v>
      </c>
      <c r="H1" s="3" t="s">
        <v>39</v>
      </c>
      <c r="I1" s="5" t="s">
        <v>40</v>
      </c>
      <c r="J1" s="6" t="s">
        <v>41</v>
      </c>
      <c r="K1" s="6" t="s">
        <v>42</v>
      </c>
      <c r="M1" s="7"/>
      <c r="N1" s="7"/>
    </row>
    <row r="2" spans="1:24">
      <c r="A2" s="8">
        <v>45682</v>
      </c>
      <c r="B2" s="9">
        <v>77</v>
      </c>
      <c r="C2" s="10">
        <v>0.46</v>
      </c>
      <c r="D2" s="9">
        <v>10</v>
      </c>
      <c r="E2" s="9">
        <v>6</v>
      </c>
      <c r="F2" s="9">
        <v>4</v>
      </c>
      <c r="G2" s="9">
        <v>2</v>
      </c>
      <c r="H2" s="9">
        <v>11</v>
      </c>
      <c r="I2" s="11">
        <f t="shared" ref="I2:I13" si="0">B2+D2+E2+F2+G2+H2</f>
        <v>110</v>
      </c>
      <c r="J2" s="12">
        <f t="shared" ref="J2:J13" si="1">I2*500</f>
        <v>55000</v>
      </c>
      <c r="K2" s="12">
        <f t="shared" ref="K2:K13" si="2">SUM((B2)*500,(D2)*100,(E2)*100,(F2)*100,(G2)*100,(H2)*50)</f>
        <v>41250</v>
      </c>
    </row>
    <row r="3" spans="1:24">
      <c r="A3" s="8">
        <v>45713</v>
      </c>
      <c r="B3" s="13">
        <v>88</v>
      </c>
      <c r="C3" s="10">
        <v>0.3</v>
      </c>
      <c r="D3" s="13">
        <v>13</v>
      </c>
      <c r="E3" s="13">
        <v>9</v>
      </c>
      <c r="F3" s="13">
        <v>4</v>
      </c>
      <c r="G3" s="13">
        <v>3</v>
      </c>
      <c r="H3" s="13">
        <v>10</v>
      </c>
      <c r="I3" s="11">
        <f t="shared" si="0"/>
        <v>127</v>
      </c>
      <c r="J3" s="12">
        <f t="shared" si="1"/>
        <v>63500</v>
      </c>
      <c r="K3" s="12">
        <f t="shared" si="2"/>
        <v>47400</v>
      </c>
    </row>
    <row r="4" spans="1:24">
      <c r="A4" s="8">
        <v>45741</v>
      </c>
      <c r="B4" s="13">
        <v>82</v>
      </c>
      <c r="C4" s="10">
        <v>0.23</v>
      </c>
      <c r="D4" s="13">
        <v>9</v>
      </c>
      <c r="E4" s="13">
        <v>8</v>
      </c>
      <c r="F4" s="13">
        <v>9</v>
      </c>
      <c r="G4" s="13">
        <v>8</v>
      </c>
      <c r="H4" s="13">
        <v>14</v>
      </c>
      <c r="I4" s="11">
        <f t="shared" si="0"/>
        <v>130</v>
      </c>
      <c r="J4" s="12">
        <f t="shared" si="1"/>
        <v>65000</v>
      </c>
      <c r="K4" s="12">
        <f t="shared" si="2"/>
        <v>45100</v>
      </c>
    </row>
    <row r="5" spans="1:24">
      <c r="A5" s="14">
        <v>45772</v>
      </c>
      <c r="B5" s="15">
        <v>62</v>
      </c>
      <c r="C5" s="10">
        <v>0.13</v>
      </c>
      <c r="D5" s="15">
        <v>16</v>
      </c>
      <c r="E5" s="15">
        <v>4</v>
      </c>
      <c r="F5" s="15">
        <v>4</v>
      </c>
      <c r="G5" s="15">
        <v>3</v>
      </c>
      <c r="H5" s="15">
        <v>7</v>
      </c>
      <c r="I5" s="16">
        <f t="shared" si="0"/>
        <v>96</v>
      </c>
      <c r="J5" s="12">
        <f t="shared" si="1"/>
        <v>48000</v>
      </c>
      <c r="K5" s="12">
        <f t="shared" si="2"/>
        <v>34050</v>
      </c>
    </row>
    <row r="6" spans="1:24">
      <c r="A6" s="14">
        <v>45802</v>
      </c>
      <c r="B6" s="15">
        <v>92</v>
      </c>
      <c r="C6" s="10">
        <v>0.38</v>
      </c>
      <c r="D6" s="15">
        <v>11</v>
      </c>
      <c r="E6" s="15">
        <v>11</v>
      </c>
      <c r="F6" s="15">
        <v>0</v>
      </c>
      <c r="G6" s="15">
        <v>3</v>
      </c>
      <c r="H6" s="15">
        <v>11</v>
      </c>
      <c r="I6" s="16">
        <f t="shared" si="0"/>
        <v>128</v>
      </c>
      <c r="J6" s="12">
        <f t="shared" si="1"/>
        <v>64000</v>
      </c>
      <c r="K6" s="12">
        <f t="shared" si="2"/>
        <v>49050</v>
      </c>
    </row>
    <row r="7" spans="1:24">
      <c r="A7" s="14">
        <v>45833</v>
      </c>
      <c r="B7" s="15">
        <v>81</v>
      </c>
      <c r="C7" s="10">
        <v>0.16</v>
      </c>
      <c r="D7" s="15">
        <v>21</v>
      </c>
      <c r="E7" s="15">
        <v>8</v>
      </c>
      <c r="F7" s="15">
        <v>0</v>
      </c>
      <c r="G7" s="15">
        <v>7</v>
      </c>
      <c r="H7" s="15">
        <v>17</v>
      </c>
      <c r="I7" s="16">
        <f t="shared" si="0"/>
        <v>134</v>
      </c>
      <c r="J7" s="12">
        <f t="shared" si="1"/>
        <v>67000</v>
      </c>
      <c r="K7" s="12">
        <f t="shared" si="2"/>
        <v>44950</v>
      </c>
      <c r="M7" s="17" t="s">
        <v>71</v>
      </c>
      <c r="N7" s="17" t="s">
        <v>72</v>
      </c>
    </row>
    <row r="8" spans="1:24">
      <c r="A8" s="14">
        <v>45863</v>
      </c>
      <c r="B8" s="15">
        <v>113</v>
      </c>
      <c r="C8" s="10">
        <v>0.33</v>
      </c>
      <c r="D8" s="15">
        <v>29</v>
      </c>
      <c r="E8" s="15">
        <v>6</v>
      </c>
      <c r="F8" s="15">
        <v>3</v>
      </c>
      <c r="G8" s="15">
        <v>8</v>
      </c>
      <c r="H8" s="15">
        <v>12</v>
      </c>
      <c r="I8" s="16">
        <f t="shared" si="0"/>
        <v>171</v>
      </c>
      <c r="J8" s="12">
        <f t="shared" si="1"/>
        <v>85500</v>
      </c>
      <c r="K8" s="12">
        <f t="shared" si="2"/>
        <v>61700</v>
      </c>
      <c r="M8" s="18" t="s">
        <v>73</v>
      </c>
      <c r="N8" s="17">
        <v>41250</v>
      </c>
    </row>
    <row r="9" spans="1:24">
      <c r="A9" s="14">
        <v>45894</v>
      </c>
      <c r="B9" s="15">
        <v>109</v>
      </c>
      <c r="C9" s="10">
        <v>0.44</v>
      </c>
      <c r="D9" s="15">
        <v>22</v>
      </c>
      <c r="E9" s="15">
        <v>11</v>
      </c>
      <c r="F9" s="15">
        <v>2</v>
      </c>
      <c r="G9" s="15">
        <v>6</v>
      </c>
      <c r="H9" s="15">
        <v>21</v>
      </c>
      <c r="I9" s="16">
        <f t="shared" si="0"/>
        <v>171</v>
      </c>
      <c r="J9" s="12">
        <f t="shared" si="1"/>
        <v>85500</v>
      </c>
      <c r="K9" s="12">
        <f t="shared" si="2"/>
        <v>59650</v>
      </c>
      <c r="M9" s="18" t="s">
        <v>74</v>
      </c>
      <c r="N9" s="17">
        <v>47400</v>
      </c>
    </row>
    <row r="10" spans="1:24">
      <c r="A10" s="14">
        <v>45925</v>
      </c>
      <c r="B10" s="15">
        <v>77</v>
      </c>
      <c r="C10" s="10">
        <v>0.04</v>
      </c>
      <c r="D10" s="15">
        <v>28</v>
      </c>
      <c r="E10" s="15">
        <v>11</v>
      </c>
      <c r="F10" s="15">
        <v>3</v>
      </c>
      <c r="G10" s="15">
        <v>5</v>
      </c>
      <c r="H10" s="15">
        <v>16</v>
      </c>
      <c r="I10" s="16">
        <f t="shared" si="0"/>
        <v>140</v>
      </c>
      <c r="J10" s="12">
        <f t="shared" si="1"/>
        <v>70000</v>
      </c>
      <c r="K10" s="12">
        <f t="shared" si="2"/>
        <v>44000</v>
      </c>
      <c r="M10" s="18" t="s">
        <v>75</v>
      </c>
      <c r="N10" s="17">
        <v>45100</v>
      </c>
    </row>
    <row r="11" spans="1:24">
      <c r="A11" s="14">
        <v>45955</v>
      </c>
      <c r="B11" s="15">
        <v>67</v>
      </c>
      <c r="C11" s="10">
        <v>0.14</v>
      </c>
      <c r="D11" s="15">
        <v>10</v>
      </c>
      <c r="E11" s="15">
        <v>6</v>
      </c>
      <c r="F11" s="15">
        <v>2</v>
      </c>
      <c r="G11" s="15">
        <v>5</v>
      </c>
      <c r="H11" s="15">
        <v>8</v>
      </c>
      <c r="I11" s="16">
        <f t="shared" si="0"/>
        <v>98</v>
      </c>
      <c r="J11" s="12">
        <f t="shared" si="1"/>
        <v>49000</v>
      </c>
      <c r="K11" s="12">
        <f t="shared" si="2"/>
        <v>36200</v>
      </c>
      <c r="M11" s="19" t="s">
        <v>76</v>
      </c>
      <c r="N11" s="20">
        <v>34050</v>
      </c>
    </row>
    <row r="12" spans="1:24">
      <c r="A12" s="14">
        <v>45986</v>
      </c>
      <c r="B12" s="15">
        <v>79</v>
      </c>
      <c r="C12" s="10">
        <v>-0.04</v>
      </c>
      <c r="D12" s="15">
        <v>13</v>
      </c>
      <c r="E12" s="15">
        <v>3</v>
      </c>
      <c r="F12" s="15">
        <v>10</v>
      </c>
      <c r="G12" s="15">
        <v>3</v>
      </c>
      <c r="H12" s="15">
        <v>16</v>
      </c>
      <c r="I12" s="16">
        <f t="shared" si="0"/>
        <v>124</v>
      </c>
      <c r="J12" s="12">
        <f t="shared" si="1"/>
        <v>62000</v>
      </c>
      <c r="K12" s="12">
        <f t="shared" si="2"/>
        <v>43200</v>
      </c>
      <c r="M12" s="18" t="s">
        <v>77</v>
      </c>
      <c r="N12" s="17">
        <v>49050</v>
      </c>
      <c r="X12" s="21"/>
    </row>
    <row r="13" spans="1:24">
      <c r="A13" s="14">
        <v>46016</v>
      </c>
      <c r="B13" s="15">
        <v>61</v>
      </c>
      <c r="C13" s="10">
        <v>-0.02</v>
      </c>
      <c r="D13" s="15">
        <v>16</v>
      </c>
      <c r="E13" s="15">
        <v>10</v>
      </c>
      <c r="F13" s="15">
        <v>5</v>
      </c>
      <c r="G13" s="15">
        <v>5</v>
      </c>
      <c r="H13" s="15">
        <v>9</v>
      </c>
      <c r="I13" s="16">
        <f t="shared" si="0"/>
        <v>106</v>
      </c>
      <c r="J13" s="12">
        <f t="shared" si="1"/>
        <v>53000</v>
      </c>
      <c r="K13" s="12">
        <f t="shared" si="2"/>
        <v>34550</v>
      </c>
      <c r="M13" s="18" t="s">
        <v>78</v>
      </c>
      <c r="N13" s="17">
        <v>44950</v>
      </c>
    </row>
    <row r="14" spans="1:24">
      <c r="A14" s="22"/>
      <c r="B14" s="23">
        <f>SUM(B5:B13)</f>
        <v>741</v>
      </c>
      <c r="C14" s="23"/>
      <c r="D14" s="23">
        <f t="shared" ref="D14:I14" si="3">SUM(D5:D13)</f>
        <v>166</v>
      </c>
      <c r="E14" s="23">
        <f t="shared" si="3"/>
        <v>70</v>
      </c>
      <c r="F14" s="23">
        <f t="shared" si="3"/>
        <v>29</v>
      </c>
      <c r="G14" s="23">
        <f t="shared" si="3"/>
        <v>45</v>
      </c>
      <c r="H14" s="23">
        <f t="shared" si="3"/>
        <v>117</v>
      </c>
      <c r="I14" s="24">
        <f>SUM(I2:I13)</f>
        <v>1535</v>
      </c>
      <c r="J14" s="25">
        <f>SUM(J2:J13)</f>
        <v>767500</v>
      </c>
      <c r="K14" s="25">
        <f>SUM(K2:K13)</f>
        <v>541100</v>
      </c>
      <c r="M14" s="26" t="s">
        <v>79</v>
      </c>
      <c r="N14" s="27">
        <v>61700</v>
      </c>
    </row>
    <row r="15" spans="1:24">
      <c r="M15" s="18" t="s">
        <v>80</v>
      </c>
      <c r="N15" s="17">
        <v>59650</v>
      </c>
    </row>
    <row r="16" spans="1:24">
      <c r="M16" s="18" t="s">
        <v>81</v>
      </c>
      <c r="N16" s="17">
        <v>44000</v>
      </c>
    </row>
    <row r="17" spans="13:25">
      <c r="M17" s="18" t="s">
        <v>82</v>
      </c>
      <c r="N17" s="17">
        <v>36200</v>
      </c>
    </row>
    <row r="18" spans="13:25">
      <c r="M18" s="18" t="s">
        <v>83</v>
      </c>
      <c r="N18" s="17">
        <v>43200</v>
      </c>
    </row>
    <row r="19" spans="13:25">
      <c r="M19" s="18" t="s">
        <v>84</v>
      </c>
      <c r="N19" s="17">
        <v>34550</v>
      </c>
    </row>
    <row r="20" spans="13:25">
      <c r="M20" s="17" t="s">
        <v>58</v>
      </c>
      <c r="N20" s="17">
        <v>541100</v>
      </c>
    </row>
    <row r="23" ht="15.75" spans="13:25">
      <c r="M23" s="28" t="s">
        <v>20</v>
      </c>
      <c r="N23" s="28" t="s">
        <v>61</v>
      </c>
      <c r="O23" s="28" t="s">
        <v>62</v>
      </c>
      <c r="P23" s="29" t="s">
        <v>85</v>
      </c>
      <c r="X23" s="30" t="s">
        <v>59</v>
      </c>
      <c r="Y23" s="31"/>
    </row>
    <row r="24" spans="13:25">
      <c r="M24" s="32" t="s">
        <v>25</v>
      </c>
      <c r="N24" s="32">
        <v>741</v>
      </c>
      <c r="O24" s="33">
        <f t="shared" ref="O24:O29" si="4">(N24/1168)</f>
        <v>0.634417808219178</v>
      </c>
      <c r="P24" s="34">
        <f>(O24*541100)</f>
        <v>343283.476027397</v>
      </c>
      <c r="X24" s="35" t="s">
        <v>60</v>
      </c>
      <c r="Y24" s="35" cm="1">
        <f t="array" ref="Y24">SUM((B2:B13)*500,(D2:D13)*500,(E2:E13)*500,(F2:F13)*500,(G2:G13)*500,(H2:H13)*500)</f>
        <v>767500</v>
      </c>
    </row>
    <row r="25" spans="13:25">
      <c r="M25" s="36" t="s">
        <v>27</v>
      </c>
      <c r="N25" s="36">
        <v>166</v>
      </c>
      <c r="O25" s="37">
        <f t="shared" si="4"/>
        <v>0.142123287671233</v>
      </c>
      <c r="P25" s="38">
        <f>(O25*541100)</f>
        <v>76902.9109589042</v>
      </c>
      <c r="X25" s="39" t="s">
        <v>63</v>
      </c>
      <c r="Y25" s="39" cm="1">
        <f t="array" ref="Y25">SUM((B2:B13)*500,(D2:D13)*100,(E2:E13)*100,(F2:F13)*100,(G2:G13)*100,(H2:H13)*50)</f>
        <v>541100</v>
      </c>
    </row>
    <row r="26" spans="13:25">
      <c r="M26" s="36" t="s">
        <v>29</v>
      </c>
      <c r="N26" s="36">
        <v>70</v>
      </c>
      <c r="O26" s="37">
        <f t="shared" si="4"/>
        <v>0.0599315068493151</v>
      </c>
      <c r="P26" s="38">
        <f>(O26*541100)</f>
        <v>32428.9383561644</v>
      </c>
      <c r="X26" s="39" t="s">
        <v>64</v>
      </c>
      <c r="Y26" s="40">
        <v>614400</v>
      </c>
    </row>
    <row r="27" spans="13:25">
      <c r="M27" s="41" t="s">
        <v>30</v>
      </c>
      <c r="N27" s="41">
        <v>29</v>
      </c>
      <c r="O27" s="42">
        <f t="shared" si="4"/>
        <v>0.0248287671232877</v>
      </c>
      <c r="P27" s="43">
        <f>(O27*541100)</f>
        <v>13434.845890411</v>
      </c>
      <c r="X27" s="39" t="s">
        <v>65</v>
      </c>
      <c r="Y27" s="39">
        <f>Y25-Y26</f>
        <v>-73300</v>
      </c>
    </row>
    <row r="28" spans="13:25">
      <c r="M28" s="36" t="s">
        <v>31</v>
      </c>
      <c r="N28" s="36">
        <v>45</v>
      </c>
      <c r="O28" s="37">
        <f t="shared" si="4"/>
        <v>0.038527397260274</v>
      </c>
      <c r="P28" s="38">
        <f>(O28*541100)</f>
        <v>20847.1746575343</v>
      </c>
      <c r="Y28" s="7"/>
    </row>
    <row r="29" spans="13:25">
      <c r="M29" s="36" t="s">
        <v>32</v>
      </c>
      <c r="N29" s="36">
        <v>117</v>
      </c>
      <c r="O29" s="37">
        <f t="shared" si="4"/>
        <v>0.100171232876712</v>
      </c>
      <c r="P29" s="38">
        <f>(O29*541100)</f>
        <v>54202.6541095889</v>
      </c>
    </row>
    <row r="30" spans="13:25">
      <c r="M30" s="39" t="s">
        <v>58</v>
      </c>
      <c r="N30" s="39">
        <v>1168</v>
      </c>
      <c r="O30" s="39"/>
      <c r="P30" s="44">
        <f>SUM(P24:P29)</f>
        <v>541100</v>
      </c>
    </row>
    <row r="33" ht="60" spans="1:14">
      <c r="M33" s="45" t="s">
        <v>66</v>
      </c>
      <c r="N33" s="46" t="s">
        <v>67</v>
      </c>
    </row>
    <row r="34" spans="1:14">
      <c r="M34" s="47">
        <v>110</v>
      </c>
      <c r="N34" s="36">
        <v>41250</v>
      </c>
    </row>
    <row r="35" spans="1:14">
      <c r="M35" s="47">
        <v>127</v>
      </c>
      <c r="N35" s="36">
        <v>47400</v>
      </c>
    </row>
    <row r="36" spans="1:14">
      <c r="M36" s="47">
        <v>130</v>
      </c>
      <c r="N36" s="36">
        <v>45100</v>
      </c>
    </row>
    <row r="37" spans="1:14">
      <c r="M37" s="47">
        <v>96</v>
      </c>
      <c r="N37" s="36">
        <v>34050</v>
      </c>
    </row>
    <row r="38" spans="1:14">
      <c r="A38" s="28" t="s">
        <v>68</v>
      </c>
      <c r="B38" s="48" t="s">
        <v>69</v>
      </c>
      <c r="C38" s="48"/>
      <c r="M38" s="47">
        <v>128</v>
      </c>
      <c r="N38" s="36">
        <v>49050</v>
      </c>
    </row>
    <row r="39" spans="1:14">
      <c r="A39" s="36" t="s">
        <v>7</v>
      </c>
      <c r="B39" s="49">
        <v>110</v>
      </c>
      <c r="C39" s="50"/>
      <c r="M39" s="47">
        <v>134</v>
      </c>
      <c r="N39" s="36">
        <v>44950</v>
      </c>
    </row>
    <row r="40" spans="1:14">
      <c r="A40" s="36" t="s">
        <v>9</v>
      </c>
      <c r="B40" s="49">
        <v>127</v>
      </c>
      <c r="C40" s="50"/>
      <c r="M40" s="47">
        <v>171</v>
      </c>
      <c r="N40" s="36">
        <v>61700</v>
      </c>
    </row>
    <row r="41" spans="1:14">
      <c r="A41" s="36" t="s">
        <v>11</v>
      </c>
      <c r="B41" s="49">
        <v>130</v>
      </c>
      <c r="C41" s="50"/>
      <c r="M41" s="47">
        <v>171</v>
      </c>
      <c r="N41" s="36">
        <v>59650</v>
      </c>
    </row>
    <row r="42" spans="1:14">
      <c r="A42" s="41" t="s">
        <v>13</v>
      </c>
      <c r="B42" s="51">
        <v>96</v>
      </c>
      <c r="C42" s="52"/>
      <c r="M42" s="47">
        <v>140</v>
      </c>
      <c r="N42" s="36">
        <v>44000</v>
      </c>
    </row>
    <row r="43" spans="1:14">
      <c r="A43" s="36" t="s">
        <v>15</v>
      </c>
      <c r="B43" s="49">
        <v>128</v>
      </c>
      <c r="C43" s="50"/>
      <c r="M43" s="47">
        <v>98</v>
      </c>
      <c r="N43" s="36">
        <v>36200</v>
      </c>
    </row>
    <row r="44" spans="1:14">
      <c r="A44" s="36" t="s">
        <v>16</v>
      </c>
      <c r="B44" s="49">
        <v>134</v>
      </c>
      <c r="C44" s="50"/>
      <c r="M44" s="47">
        <v>124</v>
      </c>
      <c r="N44" s="36">
        <v>43200</v>
      </c>
    </row>
    <row r="45" spans="1:14">
      <c r="A45" s="32" t="s">
        <v>17</v>
      </c>
      <c r="B45" s="53">
        <v>171</v>
      </c>
      <c r="C45" s="54"/>
      <c r="M45" s="47">
        <v>106</v>
      </c>
      <c r="N45" s="36">
        <v>34550</v>
      </c>
    </row>
    <row r="46" spans="1:14">
      <c r="A46" s="32" t="s">
        <v>19</v>
      </c>
      <c r="B46" s="53">
        <v>171</v>
      </c>
      <c r="C46" s="54"/>
    </row>
    <row r="47" spans="1:14">
      <c r="A47" s="36" t="s">
        <v>23</v>
      </c>
      <c r="B47" s="49">
        <v>140</v>
      </c>
      <c r="C47" s="50"/>
    </row>
    <row r="48" spans="1:14">
      <c r="A48" s="36" t="s">
        <v>24</v>
      </c>
      <c r="B48" s="49">
        <v>98</v>
      </c>
      <c r="C48" s="50"/>
    </row>
    <row r="49" spans="1:3">
      <c r="A49" s="36" t="s">
        <v>26</v>
      </c>
      <c r="B49" s="49">
        <v>124</v>
      </c>
      <c r="C49" s="50"/>
    </row>
    <row r="50" spans="1:3">
      <c r="A50" s="36" t="s">
        <v>28</v>
      </c>
      <c r="B50" s="49">
        <v>106</v>
      </c>
      <c r="C50" s="50"/>
    </row>
  </sheetData>
  <mergeCells count="14">
    <mergeCell ref="X23:Y23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</mergeCells>
  <pageMargins left="0.75" right="0.75" top="1" bottom="1" header="0.5" footer="0.5"/>
  <headerFooter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SUMMARY</vt:lpstr>
      <vt:lpstr>REV_24</vt:lpstr>
      <vt:lpstr>REV_25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2026-09-15T17:59:00Z</dcterms:created>
  <dcterms:modified xsi:type="dcterms:W3CDTF">2026-09-16T17:15:41Z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CADDBF9B6CA3447686A95430847A22E5_13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